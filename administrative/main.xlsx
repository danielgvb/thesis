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7BC0E92A-92C9-4E3F-8BE9-F4C0DC8654B6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0" i="10" l="1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N9" i="8"/>
  <c r="BN8" i="8"/>
  <c r="BQ19" i="8"/>
  <c r="BQ18" i="8"/>
  <c r="BQ17" i="8"/>
  <c r="BP19" i="8"/>
  <c r="BP18" i="8"/>
  <c r="BP17" i="8"/>
  <c r="BO19" i="8"/>
  <c r="BO18" i="8"/>
  <c r="BO17" i="8"/>
  <c r="BN19" i="8"/>
  <c r="BN18" i="8"/>
  <c r="BN17" i="8"/>
  <c r="BM19" i="8"/>
  <c r="BM18" i="8"/>
  <c r="BM17" i="8"/>
  <c r="BQ9" i="8"/>
  <c r="BQ8" i="8"/>
  <c r="BQ7" i="8"/>
  <c r="BP9" i="8"/>
  <c r="BP8" i="8"/>
  <c r="BP7" i="8"/>
  <c r="BO9" i="8"/>
  <c r="BO8" i="8"/>
  <c r="BO7" i="8"/>
  <c r="BM7" i="8"/>
  <c r="BN7" i="8"/>
  <c r="BM9" i="8"/>
  <c r="BM8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<sst xmlns="http://schemas.openxmlformats.org/spreadsheetml/2006/main" count="994" uniqueCount="295">
  <si>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</si>
  <si>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</si>
  <si>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</si>
  <si>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</si>
  <si>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</si>
  <si>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</si>
  <si>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</si>
  <si>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</si>
  <si>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</si>
  <si>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</si>
  <si>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</si>
  <si>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</si>
  <si>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</si>
  <si>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</si>
  <si>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</si>
  <si>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</si>
  <si>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</si>
  <si>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</si>
  <si>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</si>
  <si>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</si>
  <si>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</si>
  <si>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</si>
  <si>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</si>
  <si>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</si>
  <si>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</si>
  <si>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</si>
  <si>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</si>
  <si>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</si>
  <si>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</si>
  <si>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</si>
  <si>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</si>
  <si>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</si>
  <si>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</si>
  <si>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</si>
  <si>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</si>
  <si>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</si>
  <si>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</si>
  <si>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</si>
  <si>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</si>
  <si>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</si>
  <si>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</si>
  <si>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</si>
  <si>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</si>
  <si>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</si>
  <si>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</si>
  <si>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</si>
  <si>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</si>
  <si>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</si>
  <si>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</si>
  <si>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</si>
  <si>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</si>
  <si>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</si>
  <si>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</si>
  <si>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</si>
  <si>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</si>
  <si>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</si>
  <si>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</si>
  <si>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</si>
  <si>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</si>
  <si>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</si>
  <si>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</si>
  <si>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</si>
  <si>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</si>
  <si>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</si>
  <si>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</si>
  <si>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</si>
  <si>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</si>
  <si>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</si>
  <si>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</si>
  <si>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</si>
  <si>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</si>
  <si>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</si>
  <si>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</si>
  <si>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</si>
  <si>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</si>
  <si>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</si>
  <si>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</si>
  <si>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</si>
  <si>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</si>
  <si>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</si>
  <si>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</si>
  <si>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</si>
  <si>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</si>
  <si>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</si>
  <si>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</si>
  <si>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</si>
  <si>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</si>
  <si>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</si>
  <si>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</si>
  <si>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</si>
  <si>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</si>
  <si>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</si>
  <si>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</si>
  <si>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</si>
  <si>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</si>
  <si>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</si>
  <si>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</si>
  <si>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</si>
  <si>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</si>
  <si>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</si>
  <si>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</si>
  <si>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</si>
  <si>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</si>
  <si>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</si>
  <si>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</si>
  <si>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</si>
  <si>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</si>
  <si>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</si>
  <si>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</si>
  <si>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</si>
  <si>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</si>
  <si>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</si>
  <si>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</si>
  <si>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</si>
  <si>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</si>
  <si>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</si>
  <si>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</si>
  <si>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</si>
  <si>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</si>
  <si>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</si>
  <si>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</si>
  <si>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</si>
  <si>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</si>
  <si>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</si>
  <si>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</si>
  <si>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</si>
  <si>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</si>
  <si>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</si>
  <si>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</si>
  <si>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</si>
  <si>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</si>
  <si>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</si>
  <si>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</si>
  <si>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</si>
  <si>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</si>
  <si>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</si>
  <si>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</si>
  <si>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</si>
  <si>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</si>
  <si>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</si>
  <si>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</si>
  <si>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</si>
  <si>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</si>
  <si>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</si>
  <si>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</si>
  <si>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</si>
  <si>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</si>
  <si>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</si>
  <si>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</si>
  <si>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</si>
  <si>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</si>
  <si>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</si>
  <si>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</si>
  <si>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</si>
  <si>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</si>
  <si>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</si>
  <si>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</si>
  <si>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</si>
  <si>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</si>
  <si>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</si>
  <si>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</si>
  <si>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</si>
  <si>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</si>
  <si>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</si>
  <si>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</si>
  <si>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Results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</si>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</sst>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214</v>
      </c>
      <c r="D25" s="6" t="s">
        <v>213</v>
      </c>
      <c r="E25" s="7" t="s">
        <v>212</v>
      </c>
    </row>
    <row r="26" spans="2:17" x14ac:dyDescent="0.3">
      <c r="B26" s="29">
        <v>23</v>
      </c>
      <c r="C26" s="1" t="s">
        <v>228</v>
      </c>
      <c r="D26" s="1" t="s">
        <v>229</v>
      </c>
      <c r="E26" s="4" t="s">
        <v>227</v>
      </c>
      <c r="F26" s="1" t="s">
        <v>230</v>
      </c>
    </row>
    <row r="27" spans="2:17" x14ac:dyDescent="0.3">
      <c r="B27" s="1">
        <v>24</v>
      </c>
      <c r="C27" s="1" t="s">
        <v>283</v>
      </c>
      <c r="D27" s="1" t="s">
        <v>284</v>
      </c>
      <c r="E27" s="4" t="s">
        <v>282</v>
      </c>
      <c r="F27" s="1" t="s">
        <v>285</v>
      </c>
      <c r="G27" s="1" t="s">
        <v>286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3"/>
  <sheetViews>
    <sheetView workbookViewId="0">
      <selection activeCell="B22" sqref="B22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270</v>
      </c>
      <c r="C19" s="1" t="s">
        <v>271</v>
      </c>
    </row>
    <row r="20" spans="2:3" x14ac:dyDescent="0.3">
      <c r="B20" s="4" t="s">
        <v>273</v>
      </c>
      <c r="C20" s="1" t="s">
        <v>274</v>
      </c>
    </row>
    <row r="21" spans="2:3" x14ac:dyDescent="0.3">
      <c r="B21" s="4" t="s">
        <v>275</v>
      </c>
      <c r="C21" s="1" t="s">
        <v>276</v>
      </c>
    </row>
    <row r="22" spans="2:3" x14ac:dyDescent="0.3">
      <c r="B22" s="4" t="s">
        <v>277</v>
      </c>
      <c r="C22" s="1" t="s">
        <v>278</v>
      </c>
    </row>
    <row r="23" spans="2:3" x14ac:dyDescent="0.3">
      <c r="B23" s="4" t="s">
        <v>279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231</v>
      </c>
      <c r="N4" s="2" t="s">
        <v>246</v>
      </c>
      <c r="Q4" s="2" t="s">
        <v>247</v>
      </c>
      <c r="R4" s="2" t="s">
        <v>249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248</v>
      </c>
      <c r="R5" s="1" t="s">
        <v>250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232</v>
      </c>
      <c r="Q6" s="1" t="s">
        <v>251</v>
      </c>
      <c r="R6" s="1" t="s">
        <v>250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233</v>
      </c>
      <c r="Q7" s="1" t="s">
        <v>252</v>
      </c>
      <c r="R7" s="1" t="s">
        <v>253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185</v>
      </c>
      <c r="G8" s="12"/>
      <c r="M8" s="1" t="s">
        <v>234</v>
      </c>
      <c r="N8" s="1" t="s">
        <v>237</v>
      </c>
      <c r="Q8" s="1" t="s">
        <v>254</v>
      </c>
      <c r="R8" s="1" t="s">
        <v>250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185</v>
      </c>
      <c r="M9" s="1" t="s">
        <v>235</v>
      </c>
      <c r="N9" s="1" t="s">
        <v>236</v>
      </c>
      <c r="Q9" s="1" t="s">
        <v>255</v>
      </c>
      <c r="R9" s="1" t="s">
        <v>250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238</v>
      </c>
      <c r="Q10" s="1" t="s">
        <v>256</v>
      </c>
      <c r="R10" s="1" t="s">
        <v>281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239</v>
      </c>
      <c r="Q11" s="1" t="s">
        <v>257</v>
      </c>
      <c r="R11" s="1" t="s">
        <v>253</v>
      </c>
    </row>
    <row r="12" spans="2:18" x14ac:dyDescent="0.3">
      <c r="B12" s="1" t="s">
        <v>150</v>
      </c>
      <c r="C12" s="1" t="s">
        <v>243</v>
      </c>
      <c r="D12" s="1" t="s">
        <v>137</v>
      </c>
      <c r="M12" s="1" t="s">
        <v>240</v>
      </c>
      <c r="Q12" s="1" t="s">
        <v>258</v>
      </c>
      <c r="R12" s="1" t="s">
        <v>253</v>
      </c>
    </row>
    <row r="13" spans="2:18" x14ac:dyDescent="0.3">
      <c r="B13" s="1" t="s">
        <v>150</v>
      </c>
      <c r="C13" s="1" t="s">
        <v>272</v>
      </c>
      <c r="D13" s="1" t="s">
        <v>137</v>
      </c>
      <c r="M13" s="1" t="s">
        <v>241</v>
      </c>
      <c r="Q13" s="1" t="s">
        <v>259</v>
      </c>
      <c r="R13" s="1" t="s">
        <v>253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242</v>
      </c>
      <c r="Q14" s="1" t="s">
        <v>260</v>
      </c>
      <c r="R14" s="1" t="s">
        <v>253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243</v>
      </c>
      <c r="Q15" s="1" t="s">
        <v>261</v>
      </c>
      <c r="R15" s="1" t="s">
        <v>250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244</v>
      </c>
      <c r="Q16" s="1" t="s">
        <v>262</v>
      </c>
      <c r="R16" s="1" t="s">
        <v>250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245</v>
      </c>
      <c r="Q17" s="1" t="s">
        <v>263</v>
      </c>
      <c r="R17" s="1" t="s">
        <v>250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264</v>
      </c>
      <c r="R18" s="1" t="s">
        <v>250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265</v>
      </c>
      <c r="R19" s="1" t="s">
        <v>253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266</v>
      </c>
      <c r="R20" s="1" t="s">
        <v>250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267</v>
      </c>
      <c r="R21" s="1" t="s">
        <v>253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268</v>
      </c>
      <c r="R22" s="1" t="s">
        <v>253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269</v>
      </c>
      <c r="R23" s="1" t="s">
        <v>250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243</v>
      </c>
      <c r="D25" s="1" t="s">
        <v>137</v>
      </c>
    </row>
    <row r="26" spans="2:18" x14ac:dyDescent="0.3">
      <c r="B26" s="1" t="s">
        <v>151</v>
      </c>
      <c r="C26" s="1" t="s">
        <v>272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243</v>
      </c>
      <c r="D38" s="1" t="s">
        <v>137</v>
      </c>
    </row>
    <row r="39" spans="2:4" x14ac:dyDescent="0.3">
      <c r="B39" s="1" t="s">
        <v>152</v>
      </c>
      <c r="C39" s="1" t="s">
        <v>272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243</v>
      </c>
      <c r="D51" s="1" t="s">
        <v>149</v>
      </c>
    </row>
    <row r="52" spans="2:4" x14ac:dyDescent="0.3">
      <c r="B52" s="1" t="s">
        <v>153</v>
      </c>
      <c r="C52" s="1" t="s">
        <v>272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R46"/>
  <sheetViews>
    <sheetView topLeftCell="AA1" workbookViewId="0">
      <selection activeCell="AL9" sqref="AL1:AL1048576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20" customWidth="1"/>
    <col min="39" max="39" width="15.109375" style="1" customWidth="1"/>
    <col min="40" max="42" width="8.88671875" style="1"/>
    <col min="43" max="43" width="2" style="20" customWidth="1"/>
    <col min="44" max="46" width="8.88671875" style="1"/>
    <col min="47" max="47" width="2" style="20" customWidth="1"/>
    <col min="48" max="50" width="12.109375" style="1" customWidth="1"/>
    <col min="51" max="51" width="2" style="20" customWidth="1"/>
    <col min="52" max="54" width="12.109375" style="1" customWidth="1"/>
    <col min="55" max="55" width="2" style="20" customWidth="1"/>
    <col min="56" max="58" width="12.109375" style="1" customWidth="1"/>
    <col min="59" max="59" width="2" style="20" customWidth="1"/>
    <col min="60" max="62" width="12.109375" style="1" customWidth="1"/>
    <col min="63" max="63" width="2" style="20" customWidth="1"/>
    <col min="64" max="64" width="11.88671875" style="1" customWidth="1"/>
    <col min="65" max="68" width="8.88671875" style="1"/>
    <col min="69" max="69" width="9.33203125" style="1" bestFit="1" customWidth="1"/>
    <col min="70" max="16384" width="8.88671875" style="1"/>
  </cols>
  <sheetData>
    <row r="1" spans="2:70" ht="18" x14ac:dyDescent="0.35">
      <c r="B1" s="10" t="s">
        <v>165</v>
      </c>
      <c r="AC1" s="20" t="s">
        <v>287</v>
      </c>
    </row>
    <row r="2" spans="2:70" x14ac:dyDescent="0.3">
      <c r="B2" s="19" t="s">
        <v>186</v>
      </c>
      <c r="I2" s="19" t="s">
        <v>189</v>
      </c>
      <c r="N2" s="19" t="s">
        <v>138</v>
      </c>
      <c r="R2" s="19" t="s">
        <v>139</v>
      </c>
      <c r="S2" s="19"/>
      <c r="V2" s="19" t="s">
        <v>243</v>
      </c>
      <c r="W2" s="19"/>
      <c r="Z2" s="19" t="s">
        <v>272</v>
      </c>
      <c r="AD2" s="19" t="s">
        <v>192</v>
      </c>
      <c r="AE2" s="19"/>
      <c r="AF2" s="19"/>
      <c r="AM2" s="19" t="s">
        <v>199</v>
      </c>
      <c r="AR2" s="19" t="s">
        <v>200</v>
      </c>
      <c r="AV2" s="19" t="s">
        <v>138</v>
      </c>
      <c r="AZ2" s="19" t="s">
        <v>139</v>
      </c>
      <c r="BD2" s="19" t="s">
        <v>243</v>
      </c>
      <c r="BH2" s="19" t="s">
        <v>272</v>
      </c>
      <c r="BL2" s="19" t="s">
        <v>192</v>
      </c>
    </row>
    <row r="4" spans="2:70" x14ac:dyDescent="0.3">
      <c r="B4" s="13" t="s">
        <v>181</v>
      </c>
      <c r="I4" s="13" t="s">
        <v>181</v>
      </c>
      <c r="N4" s="13" t="s">
        <v>181</v>
      </c>
      <c r="R4" s="13" t="s">
        <v>181</v>
      </c>
      <c r="V4" s="13" t="s">
        <v>181</v>
      </c>
      <c r="Z4" s="13" t="s">
        <v>181</v>
      </c>
      <c r="AD4" s="13" t="s">
        <v>181</v>
      </c>
      <c r="AE4" s="13"/>
      <c r="AF4" s="13"/>
      <c r="AM4" s="13" t="s">
        <v>198</v>
      </c>
      <c r="AR4" s="13" t="s">
        <v>198</v>
      </c>
      <c r="AV4" s="13" t="s">
        <v>198</v>
      </c>
      <c r="AZ4" s="13" t="s">
        <v>198</v>
      </c>
      <c r="BD4" s="13" t="s">
        <v>198</v>
      </c>
      <c r="BH4" s="13" t="s">
        <v>198</v>
      </c>
      <c r="BL4" s="13" t="s">
        <v>198</v>
      </c>
    </row>
    <row r="6" spans="2:70" x14ac:dyDescent="0.3">
      <c r="B6" s="9" t="s">
        <v>166</v>
      </c>
      <c r="C6" s="9" t="s">
        <v>167</v>
      </c>
      <c r="D6" s="9" t="s">
        <v>168</v>
      </c>
      <c r="E6" s="9" t="s">
        <v>169</v>
      </c>
      <c r="F6" s="9" t="s">
        <v>170</v>
      </c>
      <c r="G6" s="9" t="s">
        <v>182</v>
      </c>
      <c r="I6" s="9" t="s">
        <v>166</v>
      </c>
      <c r="J6" s="9" t="s">
        <v>187</v>
      </c>
      <c r="K6" s="9" t="s">
        <v>188</v>
      </c>
      <c r="L6" s="9" t="s">
        <v>190</v>
      </c>
      <c r="N6" s="9" t="s">
        <v>166</v>
      </c>
      <c r="O6" s="9" t="s">
        <v>187</v>
      </c>
      <c r="P6" s="9" t="s">
        <v>188</v>
      </c>
      <c r="R6" s="9" t="s">
        <v>166</v>
      </c>
      <c r="S6" s="9" t="s">
        <v>187</v>
      </c>
      <c r="T6" s="9" t="s">
        <v>188</v>
      </c>
      <c r="V6" s="9" t="s">
        <v>166</v>
      </c>
      <c r="W6" s="9" t="s">
        <v>187</v>
      </c>
      <c r="X6" s="9" t="s">
        <v>188</v>
      </c>
      <c r="Z6" s="9" t="s">
        <v>166</v>
      </c>
      <c r="AA6" s="9" t="s">
        <v>187</v>
      </c>
      <c r="AB6" s="9" t="s">
        <v>188</v>
      </c>
      <c r="AD6" s="9" t="s">
        <v>166</v>
      </c>
      <c r="AE6" s="9" t="s">
        <v>138</v>
      </c>
      <c r="AF6" s="9" t="s">
        <v>139</v>
      </c>
      <c r="AG6" s="9" t="s">
        <v>193</v>
      </c>
      <c r="AH6" s="9" t="s">
        <v>33</v>
      </c>
      <c r="AI6" s="9" t="s">
        <v>243</v>
      </c>
      <c r="AJ6" s="9" t="s">
        <v>194</v>
      </c>
      <c r="AK6" s="9" t="s">
        <v>272</v>
      </c>
      <c r="AM6" s="9" t="s">
        <v>195</v>
      </c>
      <c r="AN6" s="9" t="s">
        <v>134</v>
      </c>
      <c r="AO6" s="9" t="s">
        <v>187</v>
      </c>
      <c r="AP6" s="9" t="s">
        <v>188</v>
      </c>
      <c r="AR6" s="9" t="s">
        <v>195</v>
      </c>
      <c r="AS6" s="9" t="s">
        <v>187</v>
      </c>
      <c r="AT6" s="9" t="s">
        <v>188</v>
      </c>
      <c r="AV6" s="9" t="s">
        <v>195</v>
      </c>
      <c r="AW6" s="9" t="s">
        <v>187</v>
      </c>
      <c r="AX6" s="9" t="s">
        <v>188</v>
      </c>
      <c r="AZ6" s="9" t="s">
        <v>195</v>
      </c>
      <c r="BA6" s="9" t="s">
        <v>187</v>
      </c>
      <c r="BB6" s="9" t="s">
        <v>188</v>
      </c>
      <c r="BD6" s="9" t="s">
        <v>195</v>
      </c>
      <c r="BE6" s="9" t="s">
        <v>187</v>
      </c>
      <c r="BF6" s="9" t="s">
        <v>188</v>
      </c>
      <c r="BH6" s="9" t="s">
        <v>195</v>
      </c>
      <c r="BI6" s="9" t="s">
        <v>187</v>
      </c>
      <c r="BJ6" s="9" t="s">
        <v>188</v>
      </c>
      <c r="BL6" s="9" t="s">
        <v>195</v>
      </c>
      <c r="BM6" s="9" t="s">
        <v>138</v>
      </c>
      <c r="BN6" s="9" t="s">
        <v>139</v>
      </c>
      <c r="BO6" s="9" t="s">
        <v>193</v>
      </c>
      <c r="BP6" s="9" t="s">
        <v>33</v>
      </c>
      <c r="BQ6" s="9" t="s">
        <v>202</v>
      </c>
      <c r="BR6" s="9"/>
    </row>
    <row r="7" spans="2:70" x14ac:dyDescent="0.3">
      <c r="B7" s="1" t="s">
        <v>171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171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171</v>
      </c>
      <c r="O7" s="12">
        <v>-0.39370899999999998</v>
      </c>
      <c r="P7" s="14">
        <v>15217290</v>
      </c>
      <c r="R7" s="1" t="s">
        <v>171</v>
      </c>
      <c r="S7" s="12">
        <v>-9.8227999999999996E-2</v>
      </c>
      <c r="T7" s="14">
        <v>13264390</v>
      </c>
      <c r="V7" s="1" t="s">
        <v>171</v>
      </c>
      <c r="W7" s="31">
        <v>0.99999800000000005</v>
      </c>
      <c r="X7" s="14">
        <v>15940.183487</v>
      </c>
      <c r="Z7" s="1" t="s">
        <v>171</v>
      </c>
      <c r="AA7" s="31">
        <v>0.99995000000000001</v>
      </c>
      <c r="AB7" s="14">
        <v>91507.114184000005</v>
      </c>
      <c r="AD7" s="1" t="s">
        <v>171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M7" s="1" t="s">
        <v>196</v>
      </c>
      <c r="AN7" s="1" t="s">
        <v>193</v>
      </c>
      <c r="AO7" s="12">
        <v>-0.25174930000000001</v>
      </c>
      <c r="AP7" s="14">
        <v>210875.2597</v>
      </c>
      <c r="AR7" s="1" t="s">
        <v>196</v>
      </c>
      <c r="AS7" s="23">
        <v>0.99999979999999999</v>
      </c>
      <c r="AT7" s="25">
        <v>91.979789999999994</v>
      </c>
      <c r="AV7" s="1" t="s">
        <v>197</v>
      </c>
      <c r="AW7" s="12">
        <v>0.94224399999999997</v>
      </c>
      <c r="AX7" s="14">
        <v>4703.6260300000004</v>
      </c>
      <c r="AZ7" s="1" t="s">
        <v>197</v>
      </c>
      <c r="BA7" s="12">
        <v>0.91772100000000001</v>
      </c>
      <c r="BB7" s="14">
        <v>5614.0714690000004</v>
      </c>
      <c r="BD7" s="1" t="s">
        <v>197</v>
      </c>
      <c r="BE7" s="12">
        <v>0.91772100000000001</v>
      </c>
      <c r="BF7" s="14">
        <v>5614.0714690000004</v>
      </c>
      <c r="BH7" s="1" t="s">
        <v>197</v>
      </c>
      <c r="BI7" s="12">
        <v>0.91772100000000001</v>
      </c>
      <c r="BJ7" s="14">
        <v>5614.0714690000004</v>
      </c>
      <c r="BL7" s="1" t="s">
        <v>196</v>
      </c>
      <c r="BM7" s="14">
        <f>+_xlfn.XLOOKUP($BL7,$AV$7:$AV$9,$AX$7:$AX$9)</f>
        <v>22520.654823000001</v>
      </c>
      <c r="BN7" s="14">
        <f>+_xlfn.XLOOKUP(BL7,$AZ$7:$AZ$9,$BB$7:$BB$9)</f>
        <v>16596.507481000001</v>
      </c>
      <c r="BO7" s="14">
        <f>+AP7</f>
        <v>210875.2597</v>
      </c>
      <c r="BP7" s="14">
        <f>+AP8</f>
        <v>15764.5885</v>
      </c>
      <c r="BQ7" s="14">
        <f>+AT7</f>
        <v>91.979789999999994</v>
      </c>
    </row>
    <row r="8" spans="2:70" x14ac:dyDescent="0.3">
      <c r="B8" s="6" t="s">
        <v>172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172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172</v>
      </c>
      <c r="O8" s="18">
        <v>0.44333400000000001</v>
      </c>
      <c r="P8" s="17">
        <v>1304208</v>
      </c>
      <c r="R8" s="6" t="s">
        <v>172</v>
      </c>
      <c r="S8" s="18">
        <v>0.91093299999999999</v>
      </c>
      <c r="T8" s="17">
        <v>518469</v>
      </c>
      <c r="V8" s="6" t="s">
        <v>172</v>
      </c>
      <c r="W8" s="32">
        <v>0.99999899999999997</v>
      </c>
      <c r="X8" s="17">
        <v>1580.191648</v>
      </c>
      <c r="Z8" s="6" t="s">
        <v>172</v>
      </c>
      <c r="AA8" s="32">
        <v>0.999973</v>
      </c>
      <c r="AB8" s="17">
        <v>9120.9211990000003</v>
      </c>
      <c r="AD8" s="6" t="s">
        <v>172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M8" s="6" t="s">
        <v>196</v>
      </c>
      <c r="AN8" s="6" t="s">
        <v>33</v>
      </c>
      <c r="AO8" s="18">
        <v>0.99300429999999995</v>
      </c>
      <c r="AP8" s="17">
        <v>15764.5885</v>
      </c>
      <c r="AR8" s="6" t="s">
        <v>197</v>
      </c>
      <c r="AS8" s="24">
        <v>0.99997420000000004</v>
      </c>
      <c r="AT8" s="26">
        <v>99.435940000000002</v>
      </c>
      <c r="AV8" s="6" t="s">
        <v>196</v>
      </c>
      <c r="AW8" s="18">
        <v>0.98572300000000002</v>
      </c>
      <c r="AX8" s="17">
        <v>22520.654823000001</v>
      </c>
      <c r="AZ8" s="6" t="s">
        <v>196</v>
      </c>
      <c r="BA8" s="18">
        <v>0.99224599999999996</v>
      </c>
      <c r="BB8" s="17">
        <v>16596.507481000001</v>
      </c>
      <c r="BD8" s="6" t="s">
        <v>196</v>
      </c>
      <c r="BE8" s="18">
        <v>0.99224599999999996</v>
      </c>
      <c r="BF8" s="17">
        <v>16596.507481000001</v>
      </c>
      <c r="BH8" s="6" t="s">
        <v>196</v>
      </c>
      <c r="BI8" s="18">
        <v>0.99224599999999996</v>
      </c>
      <c r="BJ8" s="17">
        <v>16596.507481000001</v>
      </c>
      <c r="BL8" s="6" t="s">
        <v>197</v>
      </c>
      <c r="BM8" s="17">
        <f t="shared" ref="BM8:BM9" si="9">+_xlfn.XLOOKUP(BL8,$AV$7:$AV$9,$AX$7:$AX$9)</f>
        <v>4703.6260300000004</v>
      </c>
      <c r="BN8" s="17">
        <f t="shared" ref="BN8:BN9" si="10">+_xlfn.XLOOKUP(BL8,$AZ$7:$AZ$9,$BB$7:$BB$9)</f>
        <v>5614.0714690000004</v>
      </c>
      <c r="BO8" s="17">
        <f>+AP9</f>
        <v>1100.5509999999999</v>
      </c>
      <c r="BP8" s="17">
        <f>+AP10</f>
        <v>756.05920000000003</v>
      </c>
      <c r="BQ8" s="17">
        <f>+AT8</f>
        <v>99.435940000000002</v>
      </c>
    </row>
    <row r="9" spans="2:70" x14ac:dyDescent="0.3">
      <c r="B9" s="1" t="s">
        <v>173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173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173</v>
      </c>
      <c r="O9" s="12">
        <v>-0.84969700000000004</v>
      </c>
      <c r="P9" s="14">
        <v>3356209</v>
      </c>
      <c r="R9" s="1" t="s">
        <v>173</v>
      </c>
      <c r="S9" s="12">
        <v>-0.18831400000000001</v>
      </c>
      <c r="T9" s="14">
        <v>2617900</v>
      </c>
      <c r="V9" s="1" t="s">
        <v>173</v>
      </c>
      <c r="W9" s="31">
        <v>0.99999899999999997</v>
      </c>
      <c r="X9" s="14">
        <v>2142.2691100000002</v>
      </c>
      <c r="Z9" s="1" t="s">
        <v>173</v>
      </c>
      <c r="AA9" s="31">
        <v>0.99992800000000004</v>
      </c>
      <c r="AB9" s="14">
        <v>20962.221375000001</v>
      </c>
      <c r="AD9" s="1" t="s">
        <v>173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M9" s="1" t="s">
        <v>197</v>
      </c>
      <c r="AN9" s="1" t="s">
        <v>193</v>
      </c>
      <c r="AO9" s="12">
        <v>0.99683809999999995</v>
      </c>
      <c r="AP9" s="14">
        <v>1100.5509999999999</v>
      </c>
      <c r="AR9" s="1" t="s">
        <v>201</v>
      </c>
      <c r="AS9" s="23">
        <v>0.9999806</v>
      </c>
      <c r="AT9" s="25">
        <v>88.003110000000007</v>
      </c>
      <c r="AV9" s="1" t="s">
        <v>201</v>
      </c>
      <c r="AW9" s="12">
        <v>0.98843700000000001</v>
      </c>
      <c r="AX9" s="14">
        <v>2148.462321</v>
      </c>
      <c r="AZ9" s="1" t="s">
        <v>201</v>
      </c>
      <c r="BA9" s="12">
        <v>0.97706400000000004</v>
      </c>
      <c r="BB9" s="14">
        <v>3025.804118</v>
      </c>
      <c r="BD9" s="1" t="s">
        <v>201</v>
      </c>
      <c r="BE9" s="12">
        <v>0.97706400000000004</v>
      </c>
      <c r="BF9" s="14">
        <v>3025.804118</v>
      </c>
      <c r="BH9" s="1" t="s">
        <v>201</v>
      </c>
      <c r="BI9" s="12">
        <v>0.97706400000000004</v>
      </c>
      <c r="BJ9" s="14">
        <v>3025.804118</v>
      </c>
      <c r="BL9" s="1" t="s">
        <v>201</v>
      </c>
      <c r="BM9" s="14">
        <f t="shared" si="9"/>
        <v>2148.462321</v>
      </c>
      <c r="BN9" s="14">
        <f t="shared" si="10"/>
        <v>3025.804118</v>
      </c>
      <c r="BO9" s="14">
        <f>+AP11</f>
        <v>1976.5089</v>
      </c>
      <c r="BP9" s="14">
        <f>+AP12</f>
        <v>902.76419999999996</v>
      </c>
      <c r="BQ9" s="14">
        <f>+AT9</f>
        <v>88.003110000000007</v>
      </c>
    </row>
    <row r="10" spans="2:70" x14ac:dyDescent="0.3">
      <c r="B10" s="6" t="s">
        <v>191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191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191</v>
      </c>
      <c r="O10" s="18">
        <v>-0.70091599999999998</v>
      </c>
      <c r="P10" s="17">
        <v>305803.09999999998</v>
      </c>
      <c r="R10" s="6" t="s">
        <v>191</v>
      </c>
      <c r="S10" s="18">
        <v>3.9317999999999999E-2</v>
      </c>
      <c r="T10" s="17">
        <v>224458</v>
      </c>
      <c r="V10" s="6" t="s">
        <v>191</v>
      </c>
      <c r="W10" s="32">
        <v>0.99999700000000002</v>
      </c>
      <c r="X10" s="17">
        <v>433.14919800000001</v>
      </c>
      <c r="Z10" s="6" t="s">
        <v>191</v>
      </c>
      <c r="AA10" s="32">
        <v>0.99969300000000005</v>
      </c>
      <c r="AB10" s="17">
        <v>4105.2196100000001</v>
      </c>
      <c r="AD10" s="6" t="s">
        <v>191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M10" s="6" t="s">
        <v>197</v>
      </c>
      <c r="AN10" s="6" t="s">
        <v>33</v>
      </c>
      <c r="AO10" s="18">
        <v>0.9985077</v>
      </c>
      <c r="AP10" s="17">
        <v>756.05920000000003</v>
      </c>
      <c r="AV10" s="6" t="s">
        <v>288</v>
      </c>
      <c r="AW10" s="18">
        <v>0.98303399999999996</v>
      </c>
      <c r="AX10" s="17">
        <v>53755.513460000002</v>
      </c>
      <c r="AZ10" s="6" t="s">
        <v>288</v>
      </c>
      <c r="BA10" s="18">
        <v>0.99701899999999999</v>
      </c>
      <c r="BB10" s="17">
        <v>22532.557326999999</v>
      </c>
      <c r="BD10" s="6" t="s">
        <v>288</v>
      </c>
      <c r="BE10" s="18">
        <v>0.99701899999999999</v>
      </c>
      <c r="BF10" s="17">
        <v>22532.557326999999</v>
      </c>
      <c r="BH10" s="6" t="s">
        <v>288</v>
      </c>
      <c r="BI10" s="18">
        <v>0.99701899999999999</v>
      </c>
      <c r="BJ10" s="17">
        <v>22532.557326999999</v>
      </c>
    </row>
    <row r="11" spans="2:70" x14ac:dyDescent="0.3">
      <c r="B11" s="1" t="s">
        <v>175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175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175</v>
      </c>
      <c r="O11" s="12">
        <v>0.97311099999999995</v>
      </c>
      <c r="P11" s="14">
        <v>2287439</v>
      </c>
      <c r="R11" s="1" t="s">
        <v>175</v>
      </c>
      <c r="S11" s="12">
        <v>0.98591399999999996</v>
      </c>
      <c r="T11" s="14">
        <v>1656545</v>
      </c>
      <c r="V11" s="1" t="s">
        <v>175</v>
      </c>
      <c r="W11" s="31">
        <v>0.99999499999999997</v>
      </c>
      <c r="X11" s="14">
        <v>30356.430119000001</v>
      </c>
      <c r="Z11" s="1" t="s">
        <v>175</v>
      </c>
      <c r="AA11" s="31">
        <v>0.99996600000000002</v>
      </c>
      <c r="AB11" s="14">
        <v>81396.828680000006</v>
      </c>
      <c r="AD11" s="1" t="s">
        <v>175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M11" s="1" t="s">
        <v>201</v>
      </c>
      <c r="AN11" s="1" t="s">
        <v>193</v>
      </c>
      <c r="AO11" s="12">
        <v>0.99021340000000002</v>
      </c>
      <c r="AP11" s="14">
        <v>1976.5089</v>
      </c>
      <c r="AW11" s="12"/>
      <c r="AX11" s="14"/>
      <c r="AZ11" s="14"/>
      <c r="BA11" s="14"/>
      <c r="BB11" s="14"/>
      <c r="BD11" s="14"/>
      <c r="BE11" s="14"/>
      <c r="BF11" s="14"/>
      <c r="BH11" s="14"/>
      <c r="BI11" s="14"/>
      <c r="BJ11" s="14"/>
    </row>
    <row r="12" spans="2:70" x14ac:dyDescent="0.3">
      <c r="B12" s="6" t="s">
        <v>176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176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176</v>
      </c>
      <c r="O12" s="18">
        <v>0.90446300000000002</v>
      </c>
      <c r="P12" s="17">
        <v>2800556</v>
      </c>
      <c r="R12" s="6" t="s">
        <v>176</v>
      </c>
      <c r="S12" s="18">
        <v>0.96489400000000003</v>
      </c>
      <c r="T12" s="17">
        <v>1697944</v>
      </c>
      <c r="V12" s="6" t="s">
        <v>176</v>
      </c>
      <c r="W12" s="32">
        <v>0.99999700000000002</v>
      </c>
      <c r="X12" s="17">
        <v>16474.693931999998</v>
      </c>
      <c r="Z12" s="6" t="s">
        <v>176</v>
      </c>
      <c r="AA12" s="32">
        <v>0.99982899999999997</v>
      </c>
      <c r="AB12" s="17">
        <v>118520.743653</v>
      </c>
      <c r="AD12" s="6" t="s">
        <v>176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M12" s="6" t="s">
        <v>201</v>
      </c>
      <c r="AN12" s="6" t="s">
        <v>33</v>
      </c>
      <c r="AO12" s="18">
        <v>0.99795840000000002</v>
      </c>
      <c r="AP12" s="17">
        <v>902.76419999999996</v>
      </c>
      <c r="AW12" s="12"/>
      <c r="AX12" s="14"/>
      <c r="AZ12" s="14"/>
      <c r="BA12" s="14"/>
      <c r="BB12" s="14"/>
      <c r="BD12" s="14"/>
      <c r="BE12" s="14"/>
      <c r="BF12" s="14"/>
      <c r="BH12" s="14"/>
      <c r="BI12" s="14"/>
      <c r="BJ12" s="14"/>
      <c r="BL12" s="19" t="s">
        <v>203</v>
      </c>
    </row>
    <row r="13" spans="2:70" x14ac:dyDescent="0.3">
      <c r="B13" s="1" t="s">
        <v>177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177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177</v>
      </c>
      <c r="O13" s="12">
        <v>-327.19220100000001</v>
      </c>
      <c r="P13" s="14">
        <v>46909600</v>
      </c>
      <c r="R13" s="1" t="s">
        <v>177</v>
      </c>
      <c r="S13" s="12">
        <v>-4.0384000000000003E-2</v>
      </c>
      <c r="T13" s="14">
        <v>2603995</v>
      </c>
      <c r="V13" s="1" t="s">
        <v>177</v>
      </c>
      <c r="W13" s="31">
        <v>0.99999099999999996</v>
      </c>
      <c r="X13" s="14">
        <v>7591.1932999999999</v>
      </c>
      <c r="Z13" s="1" t="s">
        <v>177</v>
      </c>
      <c r="AA13" s="31">
        <v>0.99989799999999995</v>
      </c>
      <c r="AB13" s="14">
        <v>26091.076145999999</v>
      </c>
      <c r="AD13" s="1" t="s">
        <v>177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M13" s="1" t="s">
        <v>288</v>
      </c>
      <c r="AN13" s="1" t="s">
        <v>193</v>
      </c>
      <c r="AO13" s="12">
        <v>0.99908359999999996</v>
      </c>
      <c r="AP13" s="14">
        <v>12493.0429</v>
      </c>
      <c r="AV13" s="14"/>
      <c r="AW13" s="14"/>
      <c r="AX13" s="14"/>
      <c r="AZ13" s="14"/>
      <c r="BA13" s="14"/>
      <c r="BB13" s="14"/>
      <c r="BD13" s="14"/>
      <c r="BE13" s="14"/>
      <c r="BF13" s="14"/>
      <c r="BH13" s="14"/>
      <c r="BI13" s="14"/>
      <c r="BJ13" s="14"/>
    </row>
    <row r="14" spans="2:70" x14ac:dyDescent="0.3">
      <c r="B14" s="6" t="s">
        <v>178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178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178</v>
      </c>
      <c r="O14" s="18">
        <v>2.6889E-2</v>
      </c>
      <c r="P14" s="17">
        <v>353453</v>
      </c>
      <c r="R14" s="6" t="s">
        <v>178</v>
      </c>
      <c r="S14" s="18">
        <v>0.87112000000000001</v>
      </c>
      <c r="T14" s="17">
        <v>125949</v>
      </c>
      <c r="V14" s="6" t="s">
        <v>178</v>
      </c>
      <c r="W14" s="32">
        <v>0.99999000000000005</v>
      </c>
      <c r="X14" s="17">
        <v>1140.2147070000001</v>
      </c>
      <c r="Z14" s="6" t="s">
        <v>178</v>
      </c>
      <c r="AA14" s="32">
        <v>0.99961699999999998</v>
      </c>
      <c r="AB14" s="17">
        <v>7011.0990389999997</v>
      </c>
      <c r="AD14" s="6" t="s">
        <v>178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M14" s="6" t="s">
        <v>288</v>
      </c>
      <c r="AN14" s="6" t="s">
        <v>33</v>
      </c>
      <c r="AO14" s="18">
        <v>0.99956429999999996</v>
      </c>
      <c r="AP14" s="17">
        <v>8614.8230000000003</v>
      </c>
      <c r="AV14" s="14"/>
      <c r="AW14" s="14"/>
      <c r="AX14" s="14"/>
      <c r="AZ14" s="14"/>
      <c r="BA14" s="14"/>
      <c r="BB14" s="14"/>
      <c r="BD14" s="14"/>
      <c r="BE14" s="14"/>
      <c r="BF14" s="14"/>
      <c r="BH14" s="14"/>
      <c r="BI14" s="14"/>
      <c r="BJ14" s="14"/>
      <c r="BL14" s="13" t="s">
        <v>198</v>
      </c>
    </row>
    <row r="15" spans="2:70" x14ac:dyDescent="0.3">
      <c r="B15" s="1" t="s">
        <v>179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180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180</v>
      </c>
      <c r="O15" s="12">
        <v>0.29647899999999999</v>
      </c>
      <c r="P15" s="14">
        <v>30580360</v>
      </c>
      <c r="R15" s="1" t="s">
        <v>180</v>
      </c>
      <c r="S15" s="12">
        <v>0.833893</v>
      </c>
      <c r="T15" s="14">
        <v>14859300</v>
      </c>
      <c r="V15" s="1" t="s">
        <v>180</v>
      </c>
      <c r="W15" s="31">
        <v>0.99999800000000005</v>
      </c>
      <c r="X15" s="14">
        <v>47866.562242</v>
      </c>
      <c r="Z15" s="1" t="s">
        <v>180</v>
      </c>
      <c r="AA15" s="31">
        <v>0.99987199999999998</v>
      </c>
      <c r="AB15" s="14">
        <v>412581.51297400001</v>
      </c>
      <c r="AD15" s="1" t="s">
        <v>180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V15" s="14"/>
      <c r="AW15" s="14"/>
      <c r="AX15" s="14"/>
      <c r="AZ15" s="14"/>
      <c r="BA15" s="14"/>
      <c r="BB15" s="14"/>
      <c r="BD15" s="14"/>
      <c r="BE15" s="14"/>
      <c r="BF15" s="14"/>
      <c r="BH15" s="14"/>
      <c r="BI15" s="14"/>
      <c r="BJ15" s="14"/>
    </row>
    <row r="16" spans="2:70" x14ac:dyDescent="0.3">
      <c r="B16" s="6" t="s">
        <v>180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179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179</v>
      </c>
      <c r="O16" s="18">
        <v>0.52243200000000001</v>
      </c>
      <c r="P16" s="17">
        <v>283382.09999999998</v>
      </c>
      <c r="R16" s="6" t="s">
        <v>179</v>
      </c>
      <c r="S16" s="18">
        <v>0.96743000000000001</v>
      </c>
      <c r="T16" s="17">
        <v>73683.27</v>
      </c>
      <c r="V16" s="6" t="s">
        <v>179</v>
      </c>
      <c r="W16" s="32">
        <v>0.999996</v>
      </c>
      <c r="X16" s="17">
        <v>829.90016600000001</v>
      </c>
      <c r="Z16" s="6" t="s">
        <v>179</v>
      </c>
      <c r="AA16" s="32">
        <v>0.99970099999999995</v>
      </c>
      <c r="AB16" s="17">
        <v>7087.1279500000001</v>
      </c>
      <c r="AD16" s="6" t="s">
        <v>179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V16" s="14"/>
      <c r="AW16" s="14"/>
      <c r="AX16" s="14"/>
      <c r="AZ16" s="14"/>
      <c r="BA16" s="14"/>
      <c r="BB16" s="14"/>
      <c r="BD16" s="14"/>
      <c r="BE16" s="14"/>
      <c r="BF16" s="14"/>
      <c r="BH16" s="14"/>
      <c r="BI16" s="14"/>
      <c r="BJ16" s="14"/>
      <c r="BL16" s="9" t="s">
        <v>195</v>
      </c>
      <c r="BM16" s="9" t="s">
        <v>138</v>
      </c>
      <c r="BN16" s="9" t="s">
        <v>139</v>
      </c>
      <c r="BO16" s="9" t="s">
        <v>193</v>
      </c>
      <c r="BP16" s="9" t="s">
        <v>33</v>
      </c>
      <c r="BQ16" s="9" t="s">
        <v>202</v>
      </c>
    </row>
    <row r="17" spans="2:69" x14ac:dyDescent="0.3">
      <c r="BL17" s="1" t="s">
        <v>196</v>
      </c>
      <c r="BM17" s="12">
        <f>+_xlfn.XLOOKUP($BL17,$AV$7:$AV$9,$AW$7:$AW$9)</f>
        <v>0.98572300000000002</v>
      </c>
      <c r="BN17" s="12">
        <f>+_xlfn.XLOOKUP(BL17,$AZ$7:$AZ$9,$BA$7:$BA$9)</f>
        <v>0.99224599999999996</v>
      </c>
      <c r="BO17" s="12">
        <f>+AO7</f>
        <v>-0.25174930000000001</v>
      </c>
      <c r="BP17" s="12">
        <f>+AO8</f>
        <v>0.99300429999999995</v>
      </c>
      <c r="BQ17" s="12">
        <f>+AS7</f>
        <v>0.99999979999999999</v>
      </c>
    </row>
    <row r="18" spans="2:69" x14ac:dyDescent="0.3">
      <c r="BL18" s="6" t="s">
        <v>197</v>
      </c>
      <c r="BM18" s="18">
        <f>+_xlfn.XLOOKUP($BL18,$AV$7:$AV$9,$AW$7:$AW$9)</f>
        <v>0.94224399999999997</v>
      </c>
      <c r="BN18" s="18">
        <f t="shared" ref="BN18:BN19" si="11">+_xlfn.XLOOKUP(BL18,$AZ$7:$AZ$9,$BA$7:$BA$9)</f>
        <v>0.91772100000000001</v>
      </c>
      <c r="BO18" s="18">
        <f>+AO9</f>
        <v>0.99683809999999995</v>
      </c>
      <c r="BP18" s="18">
        <f>+AO10</f>
        <v>0.9985077</v>
      </c>
      <c r="BQ18" s="18">
        <f>+AS8</f>
        <v>0.99997420000000004</v>
      </c>
    </row>
    <row r="19" spans="2:69" ht="16.8" x14ac:dyDescent="0.3">
      <c r="B19" s="13" t="s">
        <v>183</v>
      </c>
      <c r="I19" s="13" t="s">
        <v>183</v>
      </c>
      <c r="N19" s="13" t="s">
        <v>183</v>
      </c>
      <c r="R19" s="13" t="s">
        <v>183</v>
      </c>
      <c r="T19" s="21"/>
      <c r="V19" s="13" t="s">
        <v>183</v>
      </c>
      <c r="Z19" s="13" t="s">
        <v>183</v>
      </c>
      <c r="AD19" s="13" t="s">
        <v>183</v>
      </c>
      <c r="AE19" s="13"/>
      <c r="AF19" s="13"/>
      <c r="BL19" s="1" t="s">
        <v>201</v>
      </c>
      <c r="BM19" s="12">
        <f>+_xlfn.XLOOKUP($BL19,$AV$7:$AV$9,$AW$7:$AW$9)</f>
        <v>0.98843700000000001</v>
      </c>
      <c r="BN19" s="12">
        <f t="shared" si="11"/>
        <v>0.97706400000000004</v>
      </c>
      <c r="BO19" s="12">
        <f>+AO11</f>
        <v>0.99021340000000002</v>
      </c>
      <c r="BP19" s="12">
        <f>+AO12</f>
        <v>0.99795840000000002</v>
      </c>
      <c r="BQ19" s="12">
        <f>+AS9</f>
        <v>0.9999806</v>
      </c>
    </row>
    <row r="20" spans="2:69" ht="16.8" x14ac:dyDescent="0.3">
      <c r="T20" s="21"/>
    </row>
    <row r="21" spans="2:69" x14ac:dyDescent="0.3">
      <c r="B21" s="9" t="s">
        <v>166</v>
      </c>
      <c r="C21" s="9" t="s">
        <v>167</v>
      </c>
      <c r="D21" s="9" t="s">
        <v>168</v>
      </c>
      <c r="E21" s="9" t="s">
        <v>169</v>
      </c>
      <c r="F21" s="9" t="s">
        <v>170</v>
      </c>
      <c r="G21" s="9" t="s">
        <v>182</v>
      </c>
      <c r="I21" s="9" t="s">
        <v>166</v>
      </c>
      <c r="J21" s="9" t="s">
        <v>187</v>
      </c>
      <c r="K21" s="9" t="s">
        <v>188</v>
      </c>
      <c r="L21" s="9" t="s">
        <v>190</v>
      </c>
      <c r="N21" s="9" t="s">
        <v>166</v>
      </c>
      <c r="O21" s="9" t="s">
        <v>187</v>
      </c>
      <c r="P21" s="9" t="s">
        <v>188</v>
      </c>
      <c r="R21" s="9" t="s">
        <v>166</v>
      </c>
      <c r="S21" s="9" t="s">
        <v>187</v>
      </c>
      <c r="T21" s="9" t="s">
        <v>188</v>
      </c>
      <c r="V21" s="9" t="s">
        <v>166</v>
      </c>
      <c r="W21" s="9" t="s">
        <v>187</v>
      </c>
      <c r="X21" s="9" t="s">
        <v>188</v>
      </c>
      <c r="Z21" s="9" t="s">
        <v>166</v>
      </c>
      <c r="AA21" s="9" t="s">
        <v>187</v>
      </c>
      <c r="AB21" s="9" t="s">
        <v>188</v>
      </c>
      <c r="AD21" s="9" t="s">
        <v>166</v>
      </c>
      <c r="AE21" s="9" t="s">
        <v>138</v>
      </c>
      <c r="AF21" s="9" t="s">
        <v>139</v>
      </c>
      <c r="AG21" s="9" t="s">
        <v>193</v>
      </c>
      <c r="AH21" s="9" t="s">
        <v>33</v>
      </c>
      <c r="AI21" s="9" t="s">
        <v>243</v>
      </c>
      <c r="AJ21" s="9" t="s">
        <v>194</v>
      </c>
      <c r="AK21" s="9" t="s">
        <v>272</v>
      </c>
    </row>
    <row r="22" spans="2:69" x14ac:dyDescent="0.3">
      <c r="B22" s="1" t="s">
        <v>171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171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171</v>
      </c>
      <c r="O22" s="12">
        <v>0.82512600000000003</v>
      </c>
      <c r="P22" s="14">
        <v>5285818</v>
      </c>
      <c r="R22" s="1" t="s">
        <v>171</v>
      </c>
      <c r="S22" s="12">
        <v>0.64468300000000001</v>
      </c>
      <c r="T22" s="14">
        <v>7558374</v>
      </c>
      <c r="V22" s="1" t="s">
        <v>171</v>
      </c>
      <c r="W22" s="31">
        <v>0.99996799999999997</v>
      </c>
      <c r="X22" s="14">
        <v>72886.599426000001</v>
      </c>
      <c r="Z22" s="1" t="s">
        <v>171</v>
      </c>
      <c r="AA22" s="31">
        <v>0.998919</v>
      </c>
      <c r="AB22" s="14">
        <v>424624.7</v>
      </c>
      <c r="AD22" s="1" t="s">
        <v>171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69" ht="16.8" x14ac:dyDescent="0.3">
      <c r="B23" s="6" t="s">
        <v>172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2">+IF(F23&lt;D23,"GGM","BM")</f>
        <v>GGM</v>
      </c>
      <c r="I23" s="6" t="s">
        <v>172</v>
      </c>
      <c r="J23" s="18">
        <v>0.99997939999999996</v>
      </c>
      <c r="K23" s="17">
        <v>7970.5929999999998</v>
      </c>
      <c r="L23" s="17">
        <f t="shared" ref="L23:L31" si="13">+K23-_xlfn.XLOOKUP(I23,B$22:B$31,F$22:F$31)</f>
        <v>-183707.56700000001</v>
      </c>
      <c r="N23" s="6" t="s">
        <v>172</v>
      </c>
      <c r="O23" s="18">
        <v>0.85929699999999998</v>
      </c>
      <c r="P23" s="17">
        <v>655919.19999999995</v>
      </c>
      <c r="R23" s="6" t="s">
        <v>172</v>
      </c>
      <c r="S23" s="18">
        <v>0.86842799999999998</v>
      </c>
      <c r="T23" s="17">
        <v>634278.5</v>
      </c>
      <c r="V23" s="6" t="s">
        <v>172</v>
      </c>
      <c r="W23" s="32">
        <v>0.999977</v>
      </c>
      <c r="X23" s="17">
        <v>8395.1301469999999</v>
      </c>
      <c r="Z23" s="6" t="s">
        <v>172</v>
      </c>
      <c r="AA23" s="32">
        <v>0.99666699999999997</v>
      </c>
      <c r="AB23" s="17">
        <v>101494.2</v>
      </c>
      <c r="AD23" s="6" t="s">
        <v>172</v>
      </c>
      <c r="AE23" s="14">
        <f t="shared" ref="AE23:AE31" si="14">+_xlfn.XLOOKUP($AD23,N$22:N$31,P$22:P$31)</f>
        <v>655919.19999999995</v>
      </c>
      <c r="AF23" s="14">
        <f t="shared" ref="AF23:AF31" si="15">+_xlfn.XLOOKUP($AD23,R$22:R$31,T$22:T$31)</f>
        <v>634278.5</v>
      </c>
      <c r="AG23" s="14">
        <f t="shared" ref="AG23:AG31" si="16">+_xlfn.XLOOKUP($AD23,B$22:B$31,D$22:D$31)</f>
        <v>215298.15</v>
      </c>
      <c r="AH23" s="14">
        <f t="shared" ref="AH23:AH31" si="17">+_xlfn.XLOOKUP($AD23,B$22:B$31,F$22:F$31)</f>
        <v>191678.16</v>
      </c>
      <c r="AI23" s="14">
        <f t="shared" ref="AI23:AI31" si="18">+_xlfn.XLOOKUP($AD23,V$22:V$31,X$22:X$31)</f>
        <v>8395.1301469999999</v>
      </c>
      <c r="AJ23" s="14">
        <f t="shared" ref="AJ23:AJ31" si="19">+_xlfn.XLOOKUP($AD23,I$22:I$31,K$22:K$31)</f>
        <v>7970.5929999999998</v>
      </c>
      <c r="AK23" s="14">
        <f t="shared" ref="AK23:AK31" si="20">+_xlfn.XLOOKUP(AD23,$Z$22:$Z$31,$AB$22:$AB$31)</f>
        <v>101494.2</v>
      </c>
      <c r="AV23" s="27"/>
      <c r="AW23" s="27"/>
      <c r="AX23" s="27"/>
      <c r="AZ23" s="27"/>
      <c r="BA23" s="27"/>
      <c r="BB23" s="27"/>
      <c r="BD23" s="27"/>
      <c r="BE23" s="27"/>
      <c r="BF23" s="27"/>
      <c r="BH23" s="27"/>
      <c r="BI23" s="27"/>
      <c r="BJ23" s="27"/>
    </row>
    <row r="24" spans="2:69" ht="16.8" x14ac:dyDescent="0.3">
      <c r="B24" s="1" t="s">
        <v>173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2"/>
        <v>GGM</v>
      </c>
      <c r="I24" s="1" t="s">
        <v>173</v>
      </c>
      <c r="J24" s="12">
        <v>0.9999827</v>
      </c>
      <c r="K24" s="14">
        <v>10259.941000000001</v>
      </c>
      <c r="L24" s="14">
        <f t="shared" si="13"/>
        <v>-159756.179</v>
      </c>
      <c r="N24" s="1" t="s">
        <v>173</v>
      </c>
      <c r="O24" s="12">
        <v>0.91229700000000002</v>
      </c>
      <c r="P24" s="14">
        <v>711743.3</v>
      </c>
      <c r="R24" s="1" t="s">
        <v>173</v>
      </c>
      <c r="S24" s="12">
        <v>0.43064400000000003</v>
      </c>
      <c r="T24" s="14">
        <v>1813809</v>
      </c>
      <c r="V24" s="1" t="s">
        <v>173</v>
      </c>
      <c r="W24" s="31">
        <v>0.99997899999999995</v>
      </c>
      <c r="X24" s="14">
        <v>11331.678796</v>
      </c>
      <c r="Z24" s="1" t="s">
        <v>173</v>
      </c>
      <c r="AA24" s="31">
        <v>0.99987199999999998</v>
      </c>
      <c r="AB24" s="14">
        <v>27934.33</v>
      </c>
      <c r="AD24" s="1" t="s">
        <v>173</v>
      </c>
      <c r="AE24" s="14">
        <f t="shared" si="14"/>
        <v>711743.3</v>
      </c>
      <c r="AF24" s="14">
        <f t="shared" si="15"/>
        <v>1813809</v>
      </c>
      <c r="AG24" s="14">
        <f t="shared" si="16"/>
        <v>176803.48</v>
      </c>
      <c r="AH24" s="14">
        <f t="shared" si="17"/>
        <v>170016.12</v>
      </c>
      <c r="AI24" s="14">
        <f t="shared" si="18"/>
        <v>11331.678796</v>
      </c>
      <c r="AJ24" s="14">
        <f t="shared" si="19"/>
        <v>10259.941000000001</v>
      </c>
      <c r="AK24" s="14">
        <f t="shared" si="20"/>
        <v>27934.33</v>
      </c>
      <c r="AV24" s="27"/>
      <c r="AW24" s="28"/>
      <c r="AX24" s="28"/>
      <c r="AZ24" s="28"/>
      <c r="BA24" s="28"/>
      <c r="BB24" s="28"/>
      <c r="BD24" s="28"/>
      <c r="BE24" s="28"/>
      <c r="BF24" s="28"/>
      <c r="BH24" s="28"/>
      <c r="BI24" s="28"/>
      <c r="BJ24" s="28"/>
    </row>
    <row r="25" spans="2:69" ht="16.8" x14ac:dyDescent="0.3">
      <c r="B25" s="6" t="s">
        <v>191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2"/>
        <v>GGM</v>
      </c>
      <c r="I25" s="6" t="s">
        <v>191</v>
      </c>
      <c r="J25" s="18">
        <v>0.99986940000000002</v>
      </c>
      <c r="K25" s="17">
        <v>2682.71</v>
      </c>
      <c r="L25" s="17">
        <f t="shared" si="13"/>
        <v>-17572.22</v>
      </c>
      <c r="N25" s="6" t="s">
        <v>191</v>
      </c>
      <c r="O25" s="18">
        <v>0.81773499999999999</v>
      </c>
      <c r="P25" s="17">
        <v>96842.15</v>
      </c>
      <c r="R25" s="6" t="s">
        <v>191</v>
      </c>
      <c r="S25" s="18">
        <v>-0.70466200000000001</v>
      </c>
      <c r="T25" s="17">
        <v>300031.3</v>
      </c>
      <c r="V25" s="6" t="s">
        <v>191</v>
      </c>
      <c r="W25" s="32">
        <v>0.99985199999999996</v>
      </c>
      <c r="X25" s="17">
        <v>2856.3407999999999</v>
      </c>
      <c r="Z25" s="6" t="s">
        <v>191</v>
      </c>
      <c r="AA25" s="32">
        <v>0.99764399999999998</v>
      </c>
      <c r="AB25" s="17">
        <v>11391.69</v>
      </c>
      <c r="AD25" s="6" t="s">
        <v>191</v>
      </c>
      <c r="AE25" s="14">
        <f t="shared" si="14"/>
        <v>96842.15</v>
      </c>
      <c r="AF25" s="14">
        <f t="shared" si="15"/>
        <v>300031.3</v>
      </c>
      <c r="AG25" s="14">
        <f t="shared" si="16"/>
        <v>23695.26</v>
      </c>
      <c r="AH25" s="14">
        <f t="shared" si="17"/>
        <v>20254.93</v>
      </c>
      <c r="AI25" s="14">
        <f t="shared" si="18"/>
        <v>2856.3407999999999</v>
      </c>
      <c r="AJ25" s="14">
        <f t="shared" si="19"/>
        <v>2682.71</v>
      </c>
      <c r="AK25" s="14">
        <f t="shared" si="20"/>
        <v>11391.69</v>
      </c>
      <c r="AV25" s="27"/>
      <c r="AW25" s="28"/>
      <c r="AX25" s="28"/>
      <c r="AZ25" s="28"/>
      <c r="BA25" s="28"/>
      <c r="BB25" s="28"/>
      <c r="BD25" s="28"/>
      <c r="BE25" s="28"/>
      <c r="BF25" s="28"/>
      <c r="BH25" s="28"/>
      <c r="BI25" s="28"/>
      <c r="BJ25" s="28"/>
    </row>
    <row r="26" spans="2:69" ht="16.8" x14ac:dyDescent="0.3">
      <c r="B26" s="1" t="s">
        <v>175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2"/>
        <v>GGM</v>
      </c>
      <c r="I26" s="1" t="s">
        <v>175</v>
      </c>
      <c r="J26" s="12">
        <v>0.99998489999999995</v>
      </c>
      <c r="K26" s="14">
        <v>54571.813999999998</v>
      </c>
      <c r="L26" s="14">
        <f t="shared" si="13"/>
        <v>-1215793.6359999999</v>
      </c>
      <c r="N26" s="1" t="s">
        <v>175</v>
      </c>
      <c r="O26" s="12">
        <v>0.98488399999999998</v>
      </c>
      <c r="P26" s="14">
        <v>1726783</v>
      </c>
      <c r="R26" s="1" t="s">
        <v>175</v>
      </c>
      <c r="S26" s="12">
        <v>0.98622900000000002</v>
      </c>
      <c r="T26" s="14">
        <v>1646926</v>
      </c>
      <c r="V26" s="1" t="s">
        <v>175</v>
      </c>
      <c r="W26" s="31">
        <v>0.99998200000000004</v>
      </c>
      <c r="X26" s="14">
        <v>59096.011952000001</v>
      </c>
      <c r="Z26" s="1" t="s">
        <v>175</v>
      </c>
      <c r="AA26" s="31">
        <v>0.99986600000000003</v>
      </c>
      <c r="AB26" s="14">
        <v>162463.20000000001</v>
      </c>
      <c r="AD26" s="1" t="s">
        <v>175</v>
      </c>
      <c r="AE26" s="14">
        <f t="shared" si="14"/>
        <v>1726783</v>
      </c>
      <c r="AF26" s="14">
        <f t="shared" si="15"/>
        <v>1646926</v>
      </c>
      <c r="AG26" s="14">
        <f t="shared" si="16"/>
        <v>1370516.61</v>
      </c>
      <c r="AH26" s="14">
        <f t="shared" si="17"/>
        <v>1270365.45</v>
      </c>
      <c r="AI26" s="14">
        <f t="shared" si="18"/>
        <v>59096.011952000001</v>
      </c>
      <c r="AJ26" s="14">
        <f t="shared" si="19"/>
        <v>54571.813999999998</v>
      </c>
      <c r="AK26" s="14">
        <f t="shared" si="20"/>
        <v>162463.20000000001</v>
      </c>
      <c r="AV26" s="27"/>
      <c r="AW26" s="28"/>
      <c r="AX26" s="28"/>
      <c r="AZ26" s="28"/>
      <c r="BA26" s="28"/>
      <c r="BB26" s="28"/>
      <c r="BD26" s="28"/>
      <c r="BE26" s="28"/>
      <c r="BF26" s="28"/>
      <c r="BH26" s="28"/>
      <c r="BI26" s="28"/>
      <c r="BJ26" s="28"/>
    </row>
    <row r="27" spans="2:69" x14ac:dyDescent="0.3">
      <c r="B27" s="6" t="s">
        <v>176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2"/>
        <v>GGM</v>
      </c>
      <c r="I27" s="6" t="s">
        <v>176</v>
      </c>
      <c r="J27" s="18">
        <v>0.99998299999999996</v>
      </c>
      <c r="K27" s="17">
        <v>37554.368000000002</v>
      </c>
      <c r="L27" s="17">
        <f t="shared" si="13"/>
        <v>-924687.772</v>
      </c>
      <c r="N27" s="6" t="s">
        <v>176</v>
      </c>
      <c r="O27" s="18">
        <v>0.94516</v>
      </c>
      <c r="P27" s="17">
        <v>2120841</v>
      </c>
      <c r="R27" s="6" t="s">
        <v>176</v>
      </c>
      <c r="S27" s="18">
        <v>0.94915899999999997</v>
      </c>
      <c r="T27" s="17">
        <v>2056768</v>
      </c>
      <c r="V27" s="6" t="s">
        <v>176</v>
      </c>
      <c r="W27" s="32">
        <v>0.99997999999999998</v>
      </c>
      <c r="X27" s="17">
        <v>40276.492481000001</v>
      </c>
      <c r="Z27" s="6" t="s">
        <v>176</v>
      </c>
      <c r="AA27" s="32">
        <v>0.99753099999999995</v>
      </c>
      <c r="AB27" s="17">
        <v>453190.5</v>
      </c>
      <c r="AD27" s="6" t="s">
        <v>176</v>
      </c>
      <c r="AE27" s="14">
        <f t="shared" si="14"/>
        <v>2120841</v>
      </c>
      <c r="AF27" s="14">
        <f t="shared" si="15"/>
        <v>2056768</v>
      </c>
      <c r="AG27" s="14">
        <f t="shared" si="16"/>
        <v>1102885.5</v>
      </c>
      <c r="AH27" s="14">
        <f t="shared" si="17"/>
        <v>962242.14</v>
      </c>
      <c r="AI27" s="14">
        <f t="shared" si="18"/>
        <v>40276.492481000001</v>
      </c>
      <c r="AJ27" s="14">
        <f t="shared" si="19"/>
        <v>37554.368000000002</v>
      </c>
      <c r="AK27" s="14">
        <f t="shared" si="20"/>
        <v>453190.5</v>
      </c>
    </row>
    <row r="28" spans="2:69" x14ac:dyDescent="0.3">
      <c r="B28" s="1" t="s">
        <v>177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2"/>
        <v>GGM</v>
      </c>
      <c r="I28" s="1" t="s">
        <v>177</v>
      </c>
      <c r="J28" s="12">
        <v>0.99995199999999995</v>
      </c>
      <c r="K28" s="14">
        <v>18001.951000000001</v>
      </c>
      <c r="L28" s="14">
        <f t="shared" si="13"/>
        <v>-159551.46900000001</v>
      </c>
      <c r="N28" s="1" t="s">
        <v>177</v>
      </c>
      <c r="O28" s="12">
        <v>0.84834900000000002</v>
      </c>
      <c r="P28" s="14">
        <v>999266.5</v>
      </c>
      <c r="R28" s="1" t="s">
        <v>177</v>
      </c>
      <c r="S28" s="12">
        <v>-0.34762500000000002</v>
      </c>
      <c r="T28" s="14">
        <v>2976087</v>
      </c>
      <c r="V28" s="1" t="s">
        <v>177</v>
      </c>
      <c r="W28" s="31">
        <v>0.99994000000000005</v>
      </c>
      <c r="X28" s="14">
        <v>20204.683582000001</v>
      </c>
      <c r="Z28" s="1" t="s">
        <v>177</v>
      </c>
      <c r="AA28" s="31">
        <v>0.99860599999999999</v>
      </c>
      <c r="AB28" s="14">
        <v>97029.98</v>
      </c>
      <c r="AD28" s="1" t="s">
        <v>177</v>
      </c>
      <c r="AE28" s="14">
        <f t="shared" si="14"/>
        <v>999266.5</v>
      </c>
      <c r="AF28" s="14">
        <f t="shared" si="15"/>
        <v>2976087</v>
      </c>
      <c r="AG28" s="14">
        <f t="shared" si="16"/>
        <v>212970.27</v>
      </c>
      <c r="AH28" s="14">
        <f t="shared" si="17"/>
        <v>177553.42</v>
      </c>
      <c r="AI28" s="14">
        <f t="shared" si="18"/>
        <v>20204.683582000001</v>
      </c>
      <c r="AJ28" s="14">
        <f t="shared" si="19"/>
        <v>18001.951000000001</v>
      </c>
      <c r="AK28" s="14">
        <f t="shared" si="20"/>
        <v>97029.98</v>
      </c>
    </row>
    <row r="29" spans="2:69" x14ac:dyDescent="0.3">
      <c r="B29" s="6" t="s">
        <v>178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2"/>
        <v>GGM</v>
      </c>
      <c r="I29" s="6" t="s">
        <v>178</v>
      </c>
      <c r="J29" s="18">
        <v>0.9999439</v>
      </c>
      <c r="K29" s="17">
        <v>2688.72</v>
      </c>
      <c r="L29" s="17">
        <f t="shared" si="13"/>
        <v>-39000.869999999995</v>
      </c>
      <c r="N29" s="6" t="s">
        <v>178</v>
      </c>
      <c r="O29" s="18">
        <v>0.83975299999999997</v>
      </c>
      <c r="P29" s="17">
        <v>140633.70000000001</v>
      </c>
      <c r="R29" s="6" t="s">
        <v>178</v>
      </c>
      <c r="S29" s="18">
        <v>0.86644399999999999</v>
      </c>
      <c r="T29" s="17">
        <v>128388.6</v>
      </c>
      <c r="V29" s="6" t="s">
        <v>178</v>
      </c>
      <c r="W29" s="32">
        <v>0.99993799999999999</v>
      </c>
      <c r="X29" s="17">
        <v>2835.1556179999998</v>
      </c>
      <c r="Z29" s="6" t="s">
        <v>178</v>
      </c>
      <c r="AA29" s="32">
        <v>0.99784799999999996</v>
      </c>
      <c r="AB29" s="17">
        <v>16657.2</v>
      </c>
      <c r="AD29" s="6" t="s">
        <v>178</v>
      </c>
      <c r="AE29" s="14">
        <f t="shared" si="14"/>
        <v>140633.70000000001</v>
      </c>
      <c r="AF29" s="14">
        <f t="shared" si="15"/>
        <v>128388.6</v>
      </c>
      <c r="AG29" s="14">
        <f t="shared" si="16"/>
        <v>47981.11</v>
      </c>
      <c r="AH29" s="14">
        <f t="shared" si="17"/>
        <v>41689.589999999997</v>
      </c>
      <c r="AI29" s="14">
        <f t="shared" si="18"/>
        <v>2835.1556179999998</v>
      </c>
      <c r="AJ29" s="14">
        <f t="shared" si="19"/>
        <v>2688.72</v>
      </c>
      <c r="AK29" s="14">
        <f t="shared" si="20"/>
        <v>16657.2</v>
      </c>
    </row>
    <row r="30" spans="2:69" x14ac:dyDescent="0.3">
      <c r="B30" s="1" t="s">
        <v>179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2"/>
        <v>GGM</v>
      </c>
      <c r="I30" s="1" t="s">
        <v>180</v>
      </c>
      <c r="J30" s="12">
        <v>0.99001130000000004</v>
      </c>
      <c r="K30" s="14">
        <v>3653520.236</v>
      </c>
      <c r="L30" s="14">
        <f t="shared" si="13"/>
        <v>-4.0000001899898052E-3</v>
      </c>
      <c r="N30" s="1" t="s">
        <v>180</v>
      </c>
      <c r="O30" s="12">
        <v>0.83721299999999998</v>
      </c>
      <c r="P30" s="14">
        <v>14749160</v>
      </c>
      <c r="R30" s="1" t="s">
        <v>180</v>
      </c>
      <c r="S30" s="12">
        <v>0.84466699999999995</v>
      </c>
      <c r="T30" s="14">
        <v>14407510</v>
      </c>
      <c r="V30" s="1" t="s">
        <v>180</v>
      </c>
      <c r="W30" s="31">
        <v>0.999973</v>
      </c>
      <c r="X30" s="14">
        <v>189197.220477</v>
      </c>
      <c r="Z30" s="1" t="s">
        <v>180</v>
      </c>
      <c r="AA30" s="31">
        <v>0.99802000000000002</v>
      </c>
      <c r="AB30" s="14">
        <v>1626782</v>
      </c>
      <c r="AD30" s="1" t="s">
        <v>180</v>
      </c>
      <c r="AE30" s="14">
        <f t="shared" si="14"/>
        <v>14749160</v>
      </c>
      <c r="AF30" s="14">
        <f t="shared" si="15"/>
        <v>14407510</v>
      </c>
      <c r="AG30" s="14">
        <f t="shared" si="16"/>
        <v>4160546.94</v>
      </c>
      <c r="AH30" s="14">
        <f t="shared" si="17"/>
        <v>3653520.24</v>
      </c>
      <c r="AI30" s="14">
        <f t="shared" si="18"/>
        <v>189197.220477</v>
      </c>
      <c r="AJ30" s="14">
        <f t="shared" si="19"/>
        <v>3653520.236</v>
      </c>
      <c r="AK30" s="14">
        <f t="shared" si="20"/>
        <v>1626782</v>
      </c>
    </row>
    <row r="31" spans="2:69" x14ac:dyDescent="0.3">
      <c r="B31" s="6" t="s">
        <v>180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2"/>
        <v>GGM</v>
      </c>
      <c r="I31" s="6" t="s">
        <v>179</v>
      </c>
      <c r="J31" s="18">
        <v>0.99996839999999998</v>
      </c>
      <c r="K31" s="17">
        <v>2309.4769999999999</v>
      </c>
      <c r="L31" s="17">
        <f t="shared" si="13"/>
        <v>-52796.222999999998</v>
      </c>
      <c r="N31" s="6" t="s">
        <v>179</v>
      </c>
      <c r="O31" s="18">
        <v>0.94254700000000002</v>
      </c>
      <c r="P31" s="17">
        <v>97667.94</v>
      </c>
      <c r="R31" s="6" t="s">
        <v>179</v>
      </c>
      <c r="S31" s="18">
        <v>0.95194400000000001</v>
      </c>
      <c r="T31" s="17">
        <v>89659.199999999997</v>
      </c>
      <c r="V31" s="6" t="s">
        <v>179</v>
      </c>
      <c r="W31" s="32">
        <v>0.99996499999999999</v>
      </c>
      <c r="X31" s="17">
        <v>2423.543439</v>
      </c>
      <c r="Z31" s="6" t="s">
        <v>179</v>
      </c>
      <c r="AA31" s="32">
        <v>0.98897800000000002</v>
      </c>
      <c r="AB31" s="17">
        <v>43128.99</v>
      </c>
      <c r="AD31" s="6" t="s">
        <v>179</v>
      </c>
      <c r="AE31" s="14">
        <f t="shared" si="14"/>
        <v>97667.94</v>
      </c>
      <c r="AF31" s="14">
        <f t="shared" si="15"/>
        <v>89659.199999999997</v>
      </c>
      <c r="AG31" s="14">
        <f t="shared" si="16"/>
        <v>62031.38</v>
      </c>
      <c r="AH31" s="14">
        <f t="shared" si="17"/>
        <v>55105.7</v>
      </c>
      <c r="AI31" s="14">
        <f t="shared" si="18"/>
        <v>2423.543439</v>
      </c>
      <c r="AJ31" s="14">
        <f t="shared" si="19"/>
        <v>2309.4769999999999</v>
      </c>
      <c r="AK31" s="14">
        <f t="shared" si="20"/>
        <v>43128.99</v>
      </c>
    </row>
    <row r="32" spans="2:69" ht="16.8" x14ac:dyDescent="0.3">
      <c r="AD32" s="22"/>
      <c r="AE32" s="22"/>
      <c r="AF32" s="22"/>
    </row>
    <row r="34" spans="2:24" x14ac:dyDescent="0.3">
      <c r="B34" s="13" t="s">
        <v>184</v>
      </c>
      <c r="I34" s="13" t="s">
        <v>184</v>
      </c>
      <c r="V34" s="13" t="s">
        <v>184</v>
      </c>
    </row>
    <row r="36" spans="2:24" x14ac:dyDescent="0.3">
      <c r="B36" s="9" t="s">
        <v>166</v>
      </c>
      <c r="C36" s="9" t="s">
        <v>167</v>
      </c>
      <c r="D36" s="9" t="s">
        <v>168</v>
      </c>
      <c r="E36" s="9" t="s">
        <v>169</v>
      </c>
      <c r="F36" s="9" t="s">
        <v>170</v>
      </c>
      <c r="G36" s="9" t="s">
        <v>182</v>
      </c>
      <c r="I36" s="9" t="s">
        <v>166</v>
      </c>
      <c r="J36" s="9" t="s">
        <v>187</v>
      </c>
      <c r="K36" s="9" t="s">
        <v>188</v>
      </c>
      <c r="L36" s="9" t="s">
        <v>190</v>
      </c>
      <c r="V36" s="9" t="s">
        <v>166</v>
      </c>
      <c r="W36" s="9" t="s">
        <v>187</v>
      </c>
      <c r="X36" s="9" t="s">
        <v>188</v>
      </c>
    </row>
    <row r="37" spans="2:24" x14ac:dyDescent="0.3">
      <c r="B37" s="1" t="s">
        <v>171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171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171</v>
      </c>
      <c r="W37" s="31">
        <v>0.99801799999999996</v>
      </c>
      <c r="X37" s="14">
        <v>584602.6</v>
      </c>
    </row>
    <row r="38" spans="2:24" x14ac:dyDescent="0.3">
      <c r="B38" s="6" t="s">
        <v>172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1">+IF(F38&lt;D38,"GGM","BM")</f>
        <v>GGM</v>
      </c>
      <c r="I38" s="6" t="s">
        <v>172</v>
      </c>
      <c r="J38" s="18">
        <v>0.99688900000000003</v>
      </c>
      <c r="K38" s="17">
        <v>100789.75999999999</v>
      </c>
      <c r="L38" s="17">
        <f t="shared" ref="L38:L46" si="22">+K38-_xlfn.XLOOKUP(I38,B$37:B$46,F$37:F$46)</f>
        <v>-111152.34000000001</v>
      </c>
      <c r="V38" s="6" t="s">
        <v>172</v>
      </c>
      <c r="W38" s="32">
        <v>0.99567000000000005</v>
      </c>
      <c r="X38" s="17">
        <v>118904.3</v>
      </c>
    </row>
    <row r="39" spans="2:24" x14ac:dyDescent="0.3">
      <c r="B39" s="1" t="s">
        <v>173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1"/>
        <v>GGM</v>
      </c>
      <c r="I39" s="1" t="s">
        <v>173</v>
      </c>
      <c r="J39" s="12">
        <v>0.99764529999999996</v>
      </c>
      <c r="K39" s="14">
        <v>120410.38</v>
      </c>
      <c r="L39" s="14">
        <f t="shared" si="22"/>
        <v>-54364.739999999991</v>
      </c>
      <c r="V39" s="1" t="s">
        <v>173</v>
      </c>
      <c r="W39" s="31">
        <v>0.99534699999999998</v>
      </c>
      <c r="X39" s="14">
        <v>169254.2</v>
      </c>
    </row>
    <row r="40" spans="2:24" x14ac:dyDescent="0.3">
      <c r="B40" s="6" t="s">
        <v>174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1"/>
        <v>GGM</v>
      </c>
      <c r="I40" s="6" t="s">
        <v>174</v>
      </c>
      <c r="J40" s="18">
        <v>0.99412920000000005</v>
      </c>
      <c r="K40" s="17">
        <v>18214.75</v>
      </c>
      <c r="L40" s="17">
        <f t="shared" si="22"/>
        <v>-4815.9000000000015</v>
      </c>
      <c r="V40" s="6" t="s">
        <v>191</v>
      </c>
      <c r="W40" s="32">
        <v>0.99124800000000002</v>
      </c>
      <c r="X40" s="17">
        <v>22240.09</v>
      </c>
    </row>
    <row r="41" spans="2:24" x14ac:dyDescent="0.3">
      <c r="B41" s="1" t="s">
        <v>175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1"/>
        <v>GGM</v>
      </c>
      <c r="I41" s="1" t="s">
        <v>175</v>
      </c>
      <c r="J41" s="12">
        <v>0.99875570000000002</v>
      </c>
      <c r="K41" s="14">
        <v>510440.15</v>
      </c>
      <c r="L41" s="14">
        <f t="shared" si="22"/>
        <v>-725755.52999999991</v>
      </c>
      <c r="V41" s="1" t="s">
        <v>175</v>
      </c>
      <c r="W41" s="31">
        <v>0.99727699999999997</v>
      </c>
      <c r="X41" s="14">
        <v>755112.7</v>
      </c>
    </row>
    <row r="42" spans="2:24" x14ac:dyDescent="0.3">
      <c r="B42" s="6" t="s">
        <v>176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1"/>
        <v>GGM</v>
      </c>
      <c r="I42" s="6" t="s">
        <v>176</v>
      </c>
      <c r="J42" s="18">
        <v>0.9954769</v>
      </c>
      <c r="K42" s="17">
        <v>631028.31999999995</v>
      </c>
      <c r="L42" s="17">
        <f t="shared" si="22"/>
        <v>-467033.16000000003</v>
      </c>
      <c r="V42" s="6" t="s">
        <v>176</v>
      </c>
      <c r="W42" s="32">
        <v>0.99294800000000005</v>
      </c>
      <c r="X42" s="17">
        <v>787945.7</v>
      </c>
    </row>
    <row r="43" spans="2:24" x14ac:dyDescent="0.3">
      <c r="B43" s="1" t="s">
        <v>177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1"/>
        <v>GGM</v>
      </c>
      <c r="I43" s="1" t="s">
        <v>177</v>
      </c>
      <c r="J43" s="12">
        <v>0.99769969999999997</v>
      </c>
      <c r="K43" s="14">
        <v>126978.78</v>
      </c>
      <c r="L43" s="14">
        <f t="shared" si="22"/>
        <v>-71662.28</v>
      </c>
      <c r="V43" s="1" t="s">
        <v>177</v>
      </c>
      <c r="W43" s="31">
        <v>0.99575800000000003</v>
      </c>
      <c r="X43" s="14">
        <v>172431</v>
      </c>
    </row>
    <row r="44" spans="2:24" x14ac:dyDescent="0.3">
      <c r="B44" s="6" t="s">
        <v>178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1"/>
        <v>GGM</v>
      </c>
      <c r="I44" s="6" t="s">
        <v>178</v>
      </c>
      <c r="J44" s="18">
        <v>0.99363820000000003</v>
      </c>
      <c r="K44" s="17">
        <v>29197.63</v>
      </c>
      <c r="L44" s="17">
        <f t="shared" si="22"/>
        <v>-16968.219999999998</v>
      </c>
      <c r="V44" s="6" t="s">
        <v>178</v>
      </c>
      <c r="W44" s="32">
        <v>0.99148400000000003</v>
      </c>
      <c r="X44" s="17">
        <v>33780.839999999997</v>
      </c>
    </row>
    <row r="45" spans="2:24" x14ac:dyDescent="0.3">
      <c r="B45" s="1" t="s">
        <v>179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1"/>
        <v>GGM</v>
      </c>
      <c r="I45" s="1" t="s">
        <v>180</v>
      </c>
      <c r="J45" s="12">
        <v>0.98804809999999998</v>
      </c>
      <c r="K45" s="14">
        <v>4077694.45</v>
      </c>
      <c r="L45" s="14">
        <f t="shared" si="22"/>
        <v>0</v>
      </c>
      <c r="V45" s="1" t="s">
        <v>180</v>
      </c>
      <c r="W45" s="31">
        <v>0.993228</v>
      </c>
      <c r="X45" s="14">
        <v>3069392</v>
      </c>
    </row>
    <row r="46" spans="2:24" x14ac:dyDescent="0.3">
      <c r="B46" s="6" t="s">
        <v>180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1"/>
        <v>GGM</v>
      </c>
      <c r="I46" s="6" t="s">
        <v>179</v>
      </c>
      <c r="J46" s="18">
        <v>0.99455020000000005</v>
      </c>
      <c r="K46" s="17">
        <v>30806.880000000001</v>
      </c>
      <c r="L46" s="17">
        <f t="shared" si="22"/>
        <v>-23138.859999999997</v>
      </c>
      <c r="V46" s="6" t="s">
        <v>179</v>
      </c>
      <c r="W46" s="32">
        <v>0.99019000000000001</v>
      </c>
      <c r="X46" s="17">
        <v>41331.65</v>
      </c>
    </row>
  </sheetData>
  <conditionalFormatting sqref="AV13:AX16 AZ13:BB16 BD13:BF16 BH13:BJ1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E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26"/>
  <sheetViews>
    <sheetView tabSelected="1" topLeftCell="BL1" workbookViewId="0">
      <selection activeCell="BW14" sqref="BW14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8" width="10.109375" style="1" bestFit="1" customWidth="1"/>
    <col min="39" max="39" width="9.109375" style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291</v>
      </c>
      <c r="AC1" s="20" t="s">
        <v>287</v>
      </c>
      <c r="AG1" s="20" t="s">
        <v>287</v>
      </c>
      <c r="AT1" s="10" t="s">
        <v>290</v>
      </c>
      <c r="AX1" s="20" t="s">
        <v>287</v>
      </c>
    </row>
    <row r="2" spans="2:83" x14ac:dyDescent="0.3">
      <c r="B2" s="19" t="s">
        <v>292</v>
      </c>
      <c r="I2" s="19" t="s">
        <v>293</v>
      </c>
      <c r="N2" s="19" t="s">
        <v>138</v>
      </c>
      <c r="R2" s="19" t="s">
        <v>139</v>
      </c>
      <c r="S2" s="19"/>
      <c r="V2" s="19" t="s">
        <v>243</v>
      </c>
      <c r="W2" s="19"/>
      <c r="Z2" s="19" t="s">
        <v>272</v>
      </c>
      <c r="AD2" s="19" t="s">
        <v>145</v>
      </c>
      <c r="AH2" s="19" t="s">
        <v>192</v>
      </c>
      <c r="AI2" s="19"/>
      <c r="AJ2" s="19"/>
      <c r="AT2" s="19" t="s">
        <v>199</v>
      </c>
      <c r="AY2" s="19" t="s">
        <v>200</v>
      </c>
      <c r="BC2" s="19" t="s">
        <v>138</v>
      </c>
      <c r="BG2" s="19" t="s">
        <v>139</v>
      </c>
      <c r="BK2" s="19" t="s">
        <v>243</v>
      </c>
      <c r="BO2" s="19" t="s">
        <v>272</v>
      </c>
      <c r="BS2" s="19" t="s">
        <v>145</v>
      </c>
      <c r="BW2" s="19" t="s">
        <v>192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289</v>
      </c>
      <c r="I4" s="5" t="s">
        <v>289</v>
      </c>
      <c r="N4" s="5" t="s">
        <v>289</v>
      </c>
      <c r="R4" s="5" t="s">
        <v>289</v>
      </c>
      <c r="T4" s="21"/>
      <c r="V4" s="5" t="s">
        <v>289</v>
      </c>
      <c r="Z4" s="5" t="s">
        <v>289</v>
      </c>
      <c r="AD4" s="5" t="s">
        <v>289</v>
      </c>
      <c r="AH4" s="13" t="s">
        <v>289</v>
      </c>
      <c r="AI4" s="13"/>
      <c r="AJ4" s="13"/>
      <c r="AT4" s="5" t="s">
        <v>289</v>
      </c>
      <c r="AY4" s="5" t="s">
        <v>289</v>
      </c>
      <c r="BC4" s="5" t="s">
        <v>289</v>
      </c>
      <c r="BG4" s="5" t="s">
        <v>289</v>
      </c>
      <c r="BK4" s="5" t="s">
        <v>289</v>
      </c>
      <c r="BO4" s="5" t="s">
        <v>289</v>
      </c>
      <c r="BS4" s="5" t="s">
        <v>289</v>
      </c>
      <c r="BW4" s="13" t="s">
        <v>289</v>
      </c>
    </row>
    <row r="5" spans="2:83" ht="16.8" outlineLevel="1" x14ac:dyDescent="0.3">
      <c r="T5" s="21"/>
    </row>
    <row r="6" spans="2:83" outlineLevel="1" x14ac:dyDescent="0.3">
      <c r="B6" s="9" t="s">
        <v>166</v>
      </c>
      <c r="C6" s="9" t="s">
        <v>167</v>
      </c>
      <c r="D6" s="9" t="s">
        <v>168</v>
      </c>
      <c r="E6" s="9" t="s">
        <v>169</v>
      </c>
      <c r="F6" s="9" t="s">
        <v>170</v>
      </c>
      <c r="G6" s="9" t="s">
        <v>182</v>
      </c>
      <c r="I6" s="9" t="s">
        <v>166</v>
      </c>
      <c r="J6" s="9" t="s">
        <v>187</v>
      </c>
      <c r="K6" s="9" t="s">
        <v>188</v>
      </c>
      <c r="L6" s="9" t="s">
        <v>190</v>
      </c>
      <c r="N6" s="9" t="s">
        <v>166</v>
      </c>
      <c r="O6" s="9" t="s">
        <v>187</v>
      </c>
      <c r="P6" s="9" t="s">
        <v>188</v>
      </c>
      <c r="R6" s="9" t="s">
        <v>166</v>
      </c>
      <c r="S6" s="9" t="s">
        <v>187</v>
      </c>
      <c r="T6" s="9" t="s">
        <v>188</v>
      </c>
      <c r="V6" s="9" t="s">
        <v>166</v>
      </c>
      <c r="W6" s="9" t="s">
        <v>187</v>
      </c>
      <c r="X6" s="9" t="s">
        <v>188</v>
      </c>
      <c r="Z6" s="9" t="s">
        <v>166</v>
      </c>
      <c r="AA6" s="9" t="s">
        <v>187</v>
      </c>
      <c r="AB6" s="9" t="s">
        <v>188</v>
      </c>
      <c r="AD6" s="9" t="s">
        <v>166</v>
      </c>
      <c r="AE6" s="9" t="s">
        <v>187</v>
      </c>
      <c r="AF6" s="9" t="s">
        <v>188</v>
      </c>
      <c r="AH6" s="9" t="s">
        <v>166</v>
      </c>
      <c r="AI6" s="9" t="s">
        <v>138</v>
      </c>
      <c r="AJ6" s="9" t="s">
        <v>139</v>
      </c>
      <c r="AK6" s="9" t="s">
        <v>193</v>
      </c>
      <c r="AL6" s="9" t="s">
        <v>33</v>
      </c>
      <c r="AM6" s="9" t="s">
        <v>243</v>
      </c>
      <c r="AN6" s="9" t="s">
        <v>194</v>
      </c>
      <c r="AO6" s="9" t="s">
        <v>272</v>
      </c>
      <c r="AP6" s="9" t="s">
        <v>145</v>
      </c>
      <c r="AT6" s="9" t="s">
        <v>195</v>
      </c>
      <c r="AU6" s="9" t="s">
        <v>134</v>
      </c>
      <c r="AV6" s="9" t="s">
        <v>187</v>
      </c>
      <c r="AW6" s="9" t="s">
        <v>188</v>
      </c>
      <c r="AY6" s="9" t="s">
        <v>195</v>
      </c>
      <c r="AZ6" s="9" t="s">
        <v>187</v>
      </c>
      <c r="BA6" s="9" t="s">
        <v>188</v>
      </c>
      <c r="BC6" s="9" t="s">
        <v>195</v>
      </c>
      <c r="BD6" s="9" t="s">
        <v>187</v>
      </c>
      <c r="BE6" s="9" t="s">
        <v>188</v>
      </c>
      <c r="BG6" s="9" t="s">
        <v>195</v>
      </c>
      <c r="BH6" s="9" t="s">
        <v>187</v>
      </c>
      <c r="BI6" s="9" t="s">
        <v>188</v>
      </c>
      <c r="BK6" s="9" t="s">
        <v>195</v>
      </c>
      <c r="BL6" s="9" t="s">
        <v>187</v>
      </c>
      <c r="BM6" s="9" t="s">
        <v>188</v>
      </c>
      <c r="BO6" s="9" t="s">
        <v>195</v>
      </c>
      <c r="BP6" s="9" t="s">
        <v>187</v>
      </c>
      <c r="BQ6" s="9" t="s">
        <v>188</v>
      </c>
      <c r="BS6" s="9" t="s">
        <v>195</v>
      </c>
      <c r="BT6" s="9" t="s">
        <v>187</v>
      </c>
      <c r="BU6" s="9" t="s">
        <v>188</v>
      </c>
      <c r="BW6" s="9" t="s">
        <v>195</v>
      </c>
      <c r="BX6" s="9" t="s">
        <v>138</v>
      </c>
      <c r="BY6" s="9" t="s">
        <v>139</v>
      </c>
      <c r="BZ6" s="9" t="s">
        <v>193</v>
      </c>
      <c r="CA6" s="9" t="s">
        <v>33</v>
      </c>
      <c r="CB6" s="9" t="s">
        <v>243</v>
      </c>
      <c r="CC6" s="9" t="s">
        <v>194</v>
      </c>
      <c r="CD6" s="9" t="s">
        <v>272</v>
      </c>
      <c r="CE6" s="9" t="s">
        <v>145</v>
      </c>
    </row>
    <row r="7" spans="2:83" outlineLevel="1" x14ac:dyDescent="0.3">
      <c r="B7" s="1" t="s">
        <v>171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171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171</v>
      </c>
      <c r="O7" s="33">
        <v>-1167.2323490000001</v>
      </c>
      <c r="P7" s="14">
        <v>35518040</v>
      </c>
      <c r="R7" s="1" t="s">
        <v>171</v>
      </c>
      <c r="S7" s="33">
        <v>-1167.7180880000001</v>
      </c>
      <c r="T7" s="14">
        <v>35525420</v>
      </c>
      <c r="V7" s="1" t="s">
        <v>171</v>
      </c>
      <c r="W7" s="33">
        <v>-6.5581474999999996</v>
      </c>
      <c r="X7" s="14">
        <v>2922129.51</v>
      </c>
      <c r="Z7" s="1" t="s">
        <v>171</v>
      </c>
      <c r="AA7" s="33">
        <v>-5.1333900000000003</v>
      </c>
      <c r="AB7" s="14">
        <v>2632341</v>
      </c>
      <c r="AD7" s="1" t="s">
        <v>171</v>
      </c>
      <c r="AE7" s="33">
        <v>0.15242800000000001</v>
      </c>
      <c r="AF7" s="14">
        <v>978543.1</v>
      </c>
      <c r="AH7" s="1" t="s">
        <v>171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196</v>
      </c>
      <c r="AU7" s="1" t="s">
        <v>193</v>
      </c>
      <c r="AV7" s="12">
        <v>-5.7474112999999996</v>
      </c>
      <c r="AW7" s="14">
        <v>269246.39079999999</v>
      </c>
      <c r="AY7" s="1" t="s">
        <v>197</v>
      </c>
      <c r="AZ7" s="15">
        <v>-2.6609845999999999</v>
      </c>
      <c r="BA7" s="25">
        <v>62.22701</v>
      </c>
      <c r="BC7" s="1" t="s">
        <v>197</v>
      </c>
      <c r="BD7" s="33">
        <v>-1556969</v>
      </c>
      <c r="BE7" s="14">
        <v>40580.75</v>
      </c>
      <c r="BG7" s="1" t="s">
        <v>197</v>
      </c>
      <c r="BH7" s="33">
        <v>-1466067</v>
      </c>
      <c r="BI7" s="14">
        <v>39378.31</v>
      </c>
      <c r="BK7" s="1" t="s">
        <v>197</v>
      </c>
      <c r="BL7" s="33">
        <v>0.45879575</v>
      </c>
      <c r="BM7" s="14">
        <v>23.92548</v>
      </c>
      <c r="BO7" s="1" t="s">
        <v>197</v>
      </c>
      <c r="BP7" s="33">
        <v>-71.902986999999996</v>
      </c>
      <c r="BQ7" s="14">
        <v>1366.269454</v>
      </c>
      <c r="BS7" s="1" t="s">
        <v>197</v>
      </c>
      <c r="BT7" s="33">
        <v>0.95831999999999995</v>
      </c>
      <c r="BU7" s="14">
        <v>6.6396439999999997</v>
      </c>
      <c r="BW7" s="1" t="s">
        <v>196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172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172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172</v>
      </c>
      <c r="O8" s="34">
        <v>-342.44675999999998</v>
      </c>
      <c r="P8" s="17">
        <v>4850543</v>
      </c>
      <c r="R8" s="6" t="s">
        <v>172</v>
      </c>
      <c r="S8" s="34">
        <v>-342.43093699999997</v>
      </c>
      <c r="T8" s="17">
        <v>4850431</v>
      </c>
      <c r="V8" s="6" t="s">
        <v>172</v>
      </c>
      <c r="W8" s="34">
        <v>-0.14459959999999999</v>
      </c>
      <c r="X8" s="17">
        <v>297053.53000000003</v>
      </c>
      <c r="Z8" s="6" t="s">
        <v>172</v>
      </c>
      <c r="AA8" s="34">
        <v>-3.654674</v>
      </c>
      <c r="AB8" s="17">
        <v>599035.5</v>
      </c>
      <c r="AD8" s="6" t="s">
        <v>172</v>
      </c>
      <c r="AE8" s="34">
        <v>0.90742500000000004</v>
      </c>
      <c r="AF8" s="17">
        <v>84480.34</v>
      </c>
      <c r="AH8" s="6" t="s">
        <v>172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196</v>
      </c>
      <c r="AU8" s="6" t="s">
        <v>33</v>
      </c>
      <c r="AV8" s="18">
        <v>-11.574771200000001</v>
      </c>
      <c r="AW8" s="17">
        <v>367562.62449999998</v>
      </c>
      <c r="AY8" s="6" t="s">
        <v>196</v>
      </c>
      <c r="AZ8" s="16">
        <v>0.59136739999999999</v>
      </c>
      <c r="BA8" s="26">
        <v>33522.334649999997</v>
      </c>
      <c r="BC8" s="6" t="s">
        <v>196</v>
      </c>
      <c r="BD8" s="34">
        <v>-96.224559999999997</v>
      </c>
      <c r="BE8" s="17">
        <v>517077.6</v>
      </c>
      <c r="BG8" s="6" t="s">
        <v>196</v>
      </c>
      <c r="BH8" s="34">
        <v>-93.707589999999996</v>
      </c>
      <c r="BI8" s="17">
        <v>510340.6</v>
      </c>
      <c r="BK8" s="6" t="s">
        <v>196</v>
      </c>
      <c r="BL8" s="34">
        <v>-0.12438572000000001</v>
      </c>
      <c r="BM8" s="17">
        <v>55606.478790000001</v>
      </c>
      <c r="BO8" s="6" t="s">
        <v>196</v>
      </c>
      <c r="BP8" s="34">
        <v>0.70949499999999999</v>
      </c>
      <c r="BQ8" s="17">
        <v>55867.376609999999</v>
      </c>
      <c r="BS8" s="6" t="s">
        <v>196</v>
      </c>
      <c r="BT8" s="34">
        <v>0.56132400000000005</v>
      </c>
      <c r="BU8" s="17">
        <v>34732.780121999996</v>
      </c>
      <c r="BW8" s="6" t="s">
        <v>197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173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173</v>
      </c>
      <c r="J9" s="33">
        <v>-101.5126727</v>
      </c>
      <c r="K9" s="14">
        <v>251109.5</v>
      </c>
      <c r="L9" s="14">
        <f>+K9-F9</f>
        <v>888.47000000000116</v>
      </c>
      <c r="N9" s="1" t="s">
        <v>173</v>
      </c>
      <c r="O9" s="33">
        <v>-74322.225143000003</v>
      </c>
      <c r="P9" s="14">
        <v>6319862</v>
      </c>
      <c r="R9" s="1" t="s">
        <v>173</v>
      </c>
      <c r="S9" s="33">
        <v>-74373.441279000006</v>
      </c>
      <c r="T9" s="14">
        <v>6322039</v>
      </c>
      <c r="V9" s="1" t="s">
        <v>173</v>
      </c>
      <c r="W9" s="33">
        <v>-844.09909029999994</v>
      </c>
      <c r="X9" s="14">
        <v>720988.16000000003</v>
      </c>
      <c r="Z9" s="1" t="s">
        <v>173</v>
      </c>
      <c r="AA9" s="33">
        <v>-527.98294699999997</v>
      </c>
      <c r="AB9" s="14">
        <v>570420.5</v>
      </c>
      <c r="AD9" s="1" t="s">
        <v>173</v>
      </c>
      <c r="AE9" s="33">
        <v>0.85376200000000002</v>
      </c>
      <c r="AF9" s="14">
        <v>9484.2870000000003</v>
      </c>
      <c r="AH9" s="1" t="s">
        <v>173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197</v>
      </c>
      <c r="AU9" s="1" t="s">
        <v>193</v>
      </c>
      <c r="AV9" s="12">
        <v>-87.875995500000002</v>
      </c>
      <c r="AW9" s="14">
        <v>1508.5369000000001</v>
      </c>
      <c r="AY9" s="1" t="s">
        <v>294</v>
      </c>
      <c r="AZ9" s="15">
        <v>-54.161358200000002</v>
      </c>
      <c r="BA9" s="25">
        <v>326.82960000000003</v>
      </c>
      <c r="BC9" s="1" t="s">
        <v>201</v>
      </c>
      <c r="BD9" s="33">
        <v>-1116797</v>
      </c>
      <c r="BE9" s="14">
        <v>46504.1</v>
      </c>
      <c r="BG9" s="1" t="s">
        <v>201</v>
      </c>
      <c r="BH9" s="33">
        <v>-1057560</v>
      </c>
      <c r="BI9" s="14">
        <v>45253.96</v>
      </c>
      <c r="BK9" s="1" t="s">
        <v>201</v>
      </c>
      <c r="BL9" s="33">
        <v>0.43556107999999999</v>
      </c>
      <c r="BM9" s="14">
        <v>33.06073</v>
      </c>
      <c r="BO9" s="1" t="s">
        <v>201</v>
      </c>
      <c r="BP9" s="33">
        <v>-16.475088</v>
      </c>
      <c r="BQ9" s="14">
        <v>1129.176692</v>
      </c>
      <c r="BS9" s="1" t="s">
        <v>201</v>
      </c>
      <c r="BT9" s="33">
        <v>-2.6274600000000001</v>
      </c>
      <c r="BU9" s="14">
        <v>83.811807000000002</v>
      </c>
      <c r="BW9" s="1" t="s">
        <v>201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191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191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191</v>
      </c>
      <c r="O10" s="34">
        <v>-5849.742776</v>
      </c>
      <c r="P10" s="17">
        <v>648975</v>
      </c>
      <c r="R10" s="6" t="s">
        <v>191</v>
      </c>
      <c r="S10" s="34">
        <v>-5872.4790750000002</v>
      </c>
      <c r="T10" s="17">
        <v>650234.80000000005</v>
      </c>
      <c r="V10" s="6" t="s">
        <v>191</v>
      </c>
      <c r="W10" s="34">
        <v>-39.938344000000001</v>
      </c>
      <c r="X10" s="17">
        <v>58675.03</v>
      </c>
      <c r="Z10" s="6" t="s">
        <v>191</v>
      </c>
      <c r="AA10" s="34">
        <v>-164.294004</v>
      </c>
      <c r="AB10" s="17">
        <v>117900.8</v>
      </c>
      <c r="AD10" s="6" t="s">
        <v>191</v>
      </c>
      <c r="AE10" s="34">
        <v>0.70942099999999997</v>
      </c>
      <c r="AF10" s="17">
        <v>4943.3419999999996</v>
      </c>
      <c r="AH10" s="6" t="s">
        <v>191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197</v>
      </c>
      <c r="AU10" s="6" t="s">
        <v>33</v>
      </c>
      <c r="AV10" s="18">
        <v>-62.386733300000003</v>
      </c>
      <c r="AW10" s="17">
        <v>1273.9808</v>
      </c>
      <c r="AY10" s="6" t="s">
        <v>288</v>
      </c>
      <c r="AZ10" s="16">
        <v>-7.8432873000000001</v>
      </c>
      <c r="BA10" s="26">
        <v>63829.462</v>
      </c>
      <c r="BC10" s="6" t="s">
        <v>288</v>
      </c>
      <c r="BD10" s="34">
        <v>-2694.8380000000002</v>
      </c>
      <c r="BE10" s="17">
        <v>1114452</v>
      </c>
      <c r="BG10" s="6" t="s">
        <v>288</v>
      </c>
      <c r="BH10" s="34">
        <v>-2581.6080000000002</v>
      </c>
      <c r="BI10" s="17">
        <v>1090796</v>
      </c>
      <c r="BK10" s="6" t="s">
        <v>288</v>
      </c>
      <c r="BL10" s="34">
        <v>1.256618E-2</v>
      </c>
      <c r="BM10" s="17">
        <v>21328.893110000001</v>
      </c>
      <c r="BO10" s="6" t="s">
        <v>288</v>
      </c>
      <c r="BP10" s="34">
        <v>-1.0690390000000001</v>
      </c>
      <c r="BQ10" s="17">
        <v>197356.89684900001</v>
      </c>
      <c r="BS10" s="6" t="s">
        <v>288</v>
      </c>
      <c r="BT10" s="34">
        <v>0.74929500000000004</v>
      </c>
      <c r="BU10" s="17">
        <v>10747.212681999999</v>
      </c>
      <c r="BW10" s="6" t="s">
        <v>288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175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175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175</v>
      </c>
      <c r="O11" s="33">
        <v>-210.45065</v>
      </c>
      <c r="P11" s="14">
        <v>35465050</v>
      </c>
      <c r="R11" s="1" t="s">
        <v>175</v>
      </c>
      <c r="S11" s="33">
        <v>-210.44169099999999</v>
      </c>
      <c r="T11" s="14">
        <v>35464300</v>
      </c>
      <c r="V11" s="1" t="s">
        <v>175</v>
      </c>
      <c r="W11" s="33">
        <v>-10.440305199999999</v>
      </c>
      <c r="X11" s="14">
        <v>8249258.3600000003</v>
      </c>
      <c r="Z11" s="1" t="s">
        <v>175</v>
      </c>
      <c r="AA11" s="33">
        <v>-22.354537000000001</v>
      </c>
      <c r="AB11" s="14">
        <v>11786420</v>
      </c>
      <c r="AD11" s="1" t="s">
        <v>175</v>
      </c>
      <c r="AE11" s="33">
        <v>0.96534200000000003</v>
      </c>
      <c r="AF11" s="14">
        <v>454043.1</v>
      </c>
      <c r="AH11" s="1" t="s">
        <v>175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294</v>
      </c>
      <c r="AU11" s="1" t="s">
        <v>193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176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176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176</v>
      </c>
      <c r="O12" s="34">
        <v>-242.90492599999999</v>
      </c>
      <c r="P12" s="17">
        <v>23865070</v>
      </c>
      <c r="R12" s="6" t="s">
        <v>176</v>
      </c>
      <c r="S12" s="34">
        <v>-242.90095299999999</v>
      </c>
      <c r="T12" s="17">
        <v>23864880</v>
      </c>
      <c r="V12" s="6" t="s">
        <v>176</v>
      </c>
      <c r="W12" s="34">
        <v>0.73289349999999998</v>
      </c>
      <c r="X12" s="17">
        <v>789759.22</v>
      </c>
      <c r="Z12" s="6" t="s">
        <v>176</v>
      </c>
      <c r="AA12" s="34">
        <v>-9.6180679999999992</v>
      </c>
      <c r="AB12" s="17">
        <v>4979380</v>
      </c>
      <c r="AD12" s="6" t="s">
        <v>176</v>
      </c>
      <c r="AE12" s="34">
        <v>-20.279411</v>
      </c>
      <c r="AF12" s="17">
        <v>7049078</v>
      </c>
      <c r="AH12" s="6" t="s">
        <v>176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294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177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177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177</v>
      </c>
      <c r="O13" s="33">
        <v>-1933.2909870000001</v>
      </c>
      <c r="P13" s="14">
        <v>7179580</v>
      </c>
      <c r="R13" s="1" t="s">
        <v>177</v>
      </c>
      <c r="S13" s="33">
        <v>-1935.788642</v>
      </c>
      <c r="T13" s="14">
        <v>7184214</v>
      </c>
      <c r="V13" s="1" t="s">
        <v>177</v>
      </c>
      <c r="W13" s="33">
        <v>-179.7974595</v>
      </c>
      <c r="X13" s="14">
        <v>2418834.08</v>
      </c>
      <c r="Z13" s="1" t="s">
        <v>177</v>
      </c>
      <c r="AA13" s="33">
        <v>-29.274857999999998</v>
      </c>
      <c r="AB13" s="14">
        <v>989808</v>
      </c>
      <c r="AD13" s="1" t="s">
        <v>177</v>
      </c>
      <c r="AE13" s="33">
        <v>0.103008</v>
      </c>
      <c r="AF13" s="14">
        <v>170374.3</v>
      </c>
      <c r="AH13" s="1" t="s">
        <v>177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288</v>
      </c>
      <c r="AU13" s="1" t="s">
        <v>193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178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178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178</v>
      </c>
      <c r="O14" s="34">
        <v>-1799.8141330000001</v>
      </c>
      <c r="P14" s="17">
        <v>996737.1</v>
      </c>
      <c r="R14" s="6" t="s">
        <v>178</v>
      </c>
      <c r="S14" s="34">
        <v>-1795.435129</v>
      </c>
      <c r="T14" s="17">
        <v>995524.5</v>
      </c>
      <c r="V14" s="6" t="s">
        <v>178</v>
      </c>
      <c r="W14" s="34">
        <v>-5.0710414999999998</v>
      </c>
      <c r="X14" s="17">
        <v>61304.51</v>
      </c>
      <c r="Z14" s="6" t="s">
        <v>178</v>
      </c>
      <c r="AA14" s="34">
        <v>-83.509297000000004</v>
      </c>
      <c r="AB14" s="17">
        <v>228724.7</v>
      </c>
      <c r="AD14" s="6" t="s">
        <v>178</v>
      </c>
      <c r="AE14" s="34">
        <v>-0.475381</v>
      </c>
      <c r="AF14" s="17">
        <v>30221.29</v>
      </c>
      <c r="AH14" s="6" t="s">
        <v>178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288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179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180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180</v>
      </c>
      <c r="O15" s="33">
        <v>-779.10362199999997</v>
      </c>
      <c r="P15" s="14">
        <v>98519360</v>
      </c>
      <c r="R15" s="1" t="s">
        <v>180</v>
      </c>
      <c r="S15" s="33">
        <v>-779.06910800000003</v>
      </c>
      <c r="T15" s="14">
        <v>98517180</v>
      </c>
      <c r="V15" s="1" t="s">
        <v>180</v>
      </c>
      <c r="W15" s="33">
        <v>0.20104150000000001</v>
      </c>
      <c r="X15" s="14">
        <v>3152880.72</v>
      </c>
      <c r="Z15" s="1" t="s">
        <v>180</v>
      </c>
      <c r="AA15" s="33">
        <v>-25.673124000000001</v>
      </c>
      <c r="AB15" s="14">
        <v>18217230</v>
      </c>
      <c r="AD15" s="1" t="s">
        <v>180</v>
      </c>
      <c r="AE15" s="33">
        <v>0.66067100000000001</v>
      </c>
      <c r="AF15" s="14">
        <v>2054735</v>
      </c>
      <c r="AH15" s="1" t="s">
        <v>180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180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179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179</v>
      </c>
      <c r="O16" s="34">
        <v>-2140.578501</v>
      </c>
      <c r="P16" s="17">
        <v>1000999</v>
      </c>
      <c r="R16" s="6" t="s">
        <v>179</v>
      </c>
      <c r="S16" s="34">
        <v>-2138.2510229999998</v>
      </c>
      <c r="T16" s="17">
        <v>1000455</v>
      </c>
      <c r="V16" s="6" t="s">
        <v>179</v>
      </c>
      <c r="W16" s="34">
        <v>0.41362320000000002</v>
      </c>
      <c r="X16" s="17">
        <v>16826.12</v>
      </c>
      <c r="Z16" s="6" t="s">
        <v>179</v>
      </c>
      <c r="AA16" s="34">
        <v>-77.961535999999995</v>
      </c>
      <c r="AB16" s="17">
        <v>195255.6</v>
      </c>
      <c r="AD16" s="6" t="s">
        <v>179</v>
      </c>
      <c r="AE16" s="34">
        <v>0.882351</v>
      </c>
      <c r="AF16" s="17">
        <v>7536.8639999999996</v>
      </c>
      <c r="AH16" s="6" t="s">
        <v>179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55:80" x14ac:dyDescent="0.3">
      <c r="CA17" s="13"/>
      <c r="CB17" s="13"/>
    </row>
    <row r="18" spans="55:80" x14ac:dyDescent="0.3">
      <c r="CA18" s="13"/>
      <c r="CB18" s="13"/>
    </row>
    <row r="19" spans="55:80" x14ac:dyDescent="0.3">
      <c r="BW19" s="19"/>
      <c r="BX19" s="19"/>
      <c r="BY19" s="19"/>
      <c r="BZ19" s="13"/>
      <c r="CA19" s="13"/>
      <c r="CB19" s="13"/>
    </row>
    <row r="20" spans="55:80" x14ac:dyDescent="0.3">
      <c r="BW20" s="19"/>
      <c r="BX20" s="19"/>
      <c r="BY20" s="19"/>
      <c r="BZ20" s="13"/>
      <c r="CA20" s="13"/>
      <c r="CB20" s="13"/>
    </row>
    <row r="21" spans="55:80" x14ac:dyDescent="0.3">
      <c r="BW21" s="13"/>
      <c r="BX21" s="13"/>
      <c r="BY21" s="13"/>
      <c r="BZ21" s="13"/>
      <c r="CA21" s="13"/>
      <c r="CB21" s="13"/>
    </row>
    <row r="22" spans="55:80" x14ac:dyDescent="0.3">
      <c r="BW22" s="13"/>
      <c r="BX22" s="13"/>
      <c r="BY22" s="13"/>
      <c r="BZ22" s="13"/>
      <c r="CA22" s="13"/>
      <c r="CB22" s="13"/>
    </row>
    <row r="23" spans="55:80" ht="16.8" x14ac:dyDescent="0.3"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55:80" ht="16.8" x14ac:dyDescent="0.3"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55:80" ht="16.8" x14ac:dyDescent="0.3"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55:80" ht="16.8" x14ac:dyDescent="0.3"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</sheetData>
  <conditionalFormatting sqref="BC13:BE16 BG13:BI16 BK13:BM16 BO13:BQ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204</v>
      </c>
    </row>
    <row r="28" spans="2:3" x14ac:dyDescent="0.3">
      <c r="B28" s="1">
        <v>26</v>
      </c>
      <c r="C28" s="1" t="s">
        <v>215</v>
      </c>
    </row>
    <row r="29" spans="2:3" x14ac:dyDescent="0.3">
      <c r="B29" s="1">
        <v>27</v>
      </c>
      <c r="C29" s="1" t="s">
        <v>216</v>
      </c>
    </row>
    <row r="30" spans="2:3" x14ac:dyDescent="0.3">
      <c r="B30" s="1">
        <v>28</v>
      </c>
      <c r="C30" s="1" t="s">
        <v>217</v>
      </c>
    </row>
    <row r="31" spans="2:3" x14ac:dyDescent="0.3">
      <c r="B31" s="1">
        <v>29</v>
      </c>
      <c r="C31" s="1" t="s">
        <v>218</v>
      </c>
    </row>
    <row r="32" spans="2:3" x14ac:dyDescent="0.3">
      <c r="B32" s="1">
        <v>30</v>
      </c>
      <c r="C32" s="1" t="s">
        <v>219</v>
      </c>
    </row>
    <row r="33" spans="2:3" x14ac:dyDescent="0.3">
      <c r="B33" s="1">
        <v>31</v>
      </c>
      <c r="C33" s="1" t="s">
        <v>220</v>
      </c>
    </row>
    <row r="34" spans="2:3" x14ac:dyDescent="0.3">
      <c r="B34" s="1">
        <v>32</v>
      </c>
      <c r="C34" s="1" t="s">
        <v>221</v>
      </c>
    </row>
    <row r="35" spans="2:3" x14ac:dyDescent="0.3">
      <c r="B35" s="1">
        <v>33</v>
      </c>
      <c r="C35" s="1" t="s">
        <v>222</v>
      </c>
    </row>
    <row r="36" spans="2:3" x14ac:dyDescent="0.3">
      <c r="B36" s="1">
        <v>34</v>
      </c>
      <c r="C36" s="1" t="s">
        <v>223</v>
      </c>
    </row>
    <row r="37" spans="2:3" x14ac:dyDescent="0.3">
      <c r="B37" s="1">
        <v>35</v>
      </c>
      <c r="C37" s="1" t="s">
        <v>224</v>
      </c>
    </row>
    <row r="38" spans="2:3" x14ac:dyDescent="0.3">
      <c r="B38" s="1">
        <v>36</v>
      </c>
      <c r="C38" s="1" t="s">
        <v>225</v>
      </c>
    </row>
    <row r="39" spans="2:3" x14ac:dyDescent="0.3">
      <c r="B39" s="1">
        <v>37</v>
      </c>
      <c r="C39" s="1" t="s">
        <v>226</v>
      </c>
    </row>
    <row r="40" spans="2:3" x14ac:dyDescent="0.3">
      <c r="B40" s="1">
        <v>37</v>
      </c>
      <c r="C40" s="29" t="s">
        <v>280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205</v>
      </c>
    </row>
    <row r="3" spans="2:2" x14ac:dyDescent="0.3">
      <c r="B3" s="1" t="s">
        <v>206</v>
      </c>
    </row>
    <row r="4" spans="2:2" x14ac:dyDescent="0.3">
      <c r="B4" s="1" t="s">
        <v>207</v>
      </c>
    </row>
    <row r="5" spans="2:2" x14ac:dyDescent="0.3">
      <c r="B5" s="1" t="s">
        <v>208</v>
      </c>
    </row>
    <row r="6" spans="2:2" x14ac:dyDescent="0.3">
      <c r="B6" s="1" t="s">
        <v>209</v>
      </c>
    </row>
    <row r="7" spans="2:2" x14ac:dyDescent="0.3">
      <c r="B7" s="1" t="s">
        <v>210</v>
      </c>
    </row>
    <row r="8" spans="2:2" x14ac:dyDescent="0.3">
      <c r="B8" s="1" t="s">
        <v>211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2025-03-20T16:55:38Z</dcterms:modified>
</cp:coreProperties>
</file>