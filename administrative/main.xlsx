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thesis\administrative\"/>
    </mc:Choice>
  </mc:AlternateContent>
  <xr:revisionPtr revIDLastSave="0" documentId="13_ncr:1_{51007C25-6365-4EF8-B51A-773694D017B0}" xr6:coauthVersionLast="47" xr6:coauthVersionMax="47" xr10:uidLastSave="{00000000-0000-0000-0000-000000000000}"/>
  <bookViews>
    <workbookView xWindow="-108" yWindow="-108" windowWidth="23256" windowHeight="12456" activeTab="3" xr2:uid="{4AC8BB16-67F5-4941-86E8-7E194268DB8A}"/>
  </bookViews>
  <sheets>
    <sheet name="literature review" sheetId="1" r:id="rId1"/>
    <sheet name="ggm" sheetId="2" r:id="rId2"/>
    <sheet name="structure" sheetId="3" r:id="rId3"/>
    <sheet name="sources" sheetId="4" r:id="rId4"/>
    <sheet name="modelling" sheetId="6" r:id="rId5"/>
    <sheet name="results" sheetId="8" r:id="rId6"/>
    <sheet name="results_train_test" sheetId="10" r:id="rId7"/>
    <sheet name="Ideas" sheetId="5" r:id="rId8"/>
    <sheet name="pytrends_categories" sheetId="9" r:id="rId9"/>
    <sheet name="help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0" i="8" l="1"/>
  <c r="BU9" i="8"/>
  <c r="BU8" i="8"/>
  <c r="BU7" i="8"/>
  <c r="BT10" i="8"/>
  <c r="BS10" i="8"/>
  <c r="BS9" i="8"/>
  <c r="BS8" i="8"/>
  <c r="BS7" i="8"/>
  <c r="BR10" i="8"/>
  <c r="BQ10" i="8"/>
  <c r="BQ9" i="8"/>
  <c r="BQ8" i="8"/>
  <c r="BQ7" i="8"/>
  <c r="BP10" i="8"/>
  <c r="BP9" i="8"/>
  <c r="BP8" i="8"/>
  <c r="BP7" i="8"/>
  <c r="BO10" i="8"/>
  <c r="BO9" i="8"/>
  <c r="BO8" i="8"/>
  <c r="BO7" i="8"/>
  <c r="BU16" i="8"/>
  <c r="BT16" i="8"/>
  <c r="BS16" i="8"/>
  <c r="BR16" i="8"/>
  <c r="BQ16" i="8"/>
  <c r="BP16" i="8"/>
  <c r="BO16" i="8"/>
  <c r="CE10" i="10"/>
  <c r="CE9" i="10"/>
  <c r="CE8" i="10"/>
  <c r="CE7" i="10"/>
  <c r="CD10" i="10"/>
  <c r="CD9" i="10"/>
  <c r="CD8" i="10"/>
  <c r="CD7" i="10"/>
  <c r="CC10" i="10"/>
  <c r="CB10" i="10"/>
  <c r="CB9" i="10"/>
  <c r="CB8" i="10"/>
  <c r="CB7" i="10"/>
  <c r="CA10" i="10"/>
  <c r="BZ10" i="10"/>
  <c r="BY10" i="10"/>
  <c r="BY9" i="10"/>
  <c r="BY8" i="10"/>
  <c r="BY7" i="10"/>
  <c r="BX10" i="10"/>
  <c r="BX9" i="10"/>
  <c r="BX8" i="10"/>
  <c r="BX7" i="10"/>
  <c r="L9" i="10"/>
  <c r="L16" i="10"/>
  <c r="L15" i="10"/>
  <c r="L14" i="10"/>
  <c r="L13" i="10"/>
  <c r="L12" i="10"/>
  <c r="L11" i="10"/>
  <c r="L10" i="10"/>
  <c r="L8" i="10"/>
  <c r="L7" i="10"/>
  <c r="G16" i="10"/>
  <c r="G15" i="10"/>
  <c r="G14" i="10"/>
  <c r="G13" i="10"/>
  <c r="G12" i="10"/>
  <c r="G11" i="10"/>
  <c r="G10" i="10"/>
  <c r="G9" i="10"/>
  <c r="G8" i="10"/>
  <c r="G7" i="10"/>
  <c r="AP16" i="10"/>
  <c r="AP15" i="10"/>
  <c r="AP14" i="10"/>
  <c r="AP13" i="10"/>
  <c r="AP12" i="10"/>
  <c r="AP11" i="10"/>
  <c r="AP10" i="10"/>
  <c r="AP9" i="10"/>
  <c r="AP8" i="10"/>
  <c r="AP7" i="10"/>
  <c r="AO7" i="10"/>
  <c r="CC9" i="10"/>
  <c r="CA9" i="10"/>
  <c r="BZ9" i="10"/>
  <c r="CC8" i="10"/>
  <c r="CA8" i="10"/>
  <c r="BZ8" i="10"/>
  <c r="CC7" i="10"/>
  <c r="CA7" i="10"/>
  <c r="BZ7" i="10"/>
  <c r="AO16" i="10"/>
  <c r="AN16" i="10"/>
  <c r="AM16" i="10"/>
  <c r="AL16" i="10"/>
  <c r="AK16" i="10"/>
  <c r="AJ16" i="10"/>
  <c r="AI16" i="10"/>
  <c r="AO15" i="10"/>
  <c r="AN15" i="10"/>
  <c r="AM15" i="10"/>
  <c r="AL15" i="10"/>
  <c r="AK15" i="10"/>
  <c r="AJ15" i="10"/>
  <c r="AI15" i="10"/>
  <c r="AO14" i="10"/>
  <c r="AN14" i="10"/>
  <c r="AM14" i="10"/>
  <c r="AL14" i="10"/>
  <c r="AK14" i="10"/>
  <c r="AJ14" i="10"/>
  <c r="AI14" i="10"/>
  <c r="AO13" i="10"/>
  <c r="AN13" i="10"/>
  <c r="AM13" i="10"/>
  <c r="AL13" i="10"/>
  <c r="AK13" i="10"/>
  <c r="AJ13" i="10"/>
  <c r="AI13" i="10"/>
  <c r="AO12" i="10"/>
  <c r="AN12" i="10"/>
  <c r="AM12" i="10"/>
  <c r="AL12" i="10"/>
  <c r="AK12" i="10"/>
  <c r="AJ12" i="10"/>
  <c r="AI12" i="10"/>
  <c r="AO11" i="10"/>
  <c r="AN11" i="10"/>
  <c r="AM11" i="10"/>
  <c r="AL11" i="10"/>
  <c r="AK11" i="10"/>
  <c r="AJ11" i="10"/>
  <c r="AI11" i="10"/>
  <c r="AO10" i="10"/>
  <c r="AN10" i="10"/>
  <c r="AM10" i="10"/>
  <c r="AL10" i="10"/>
  <c r="AK10" i="10"/>
  <c r="AJ10" i="10"/>
  <c r="AI10" i="10"/>
  <c r="AO9" i="10"/>
  <c r="AN9" i="10"/>
  <c r="AM9" i="10"/>
  <c r="AL9" i="10"/>
  <c r="AK9" i="10"/>
  <c r="AJ9" i="10"/>
  <c r="AI9" i="10"/>
  <c r="AO8" i="10"/>
  <c r="AN8" i="10"/>
  <c r="AM8" i="10"/>
  <c r="AL8" i="10"/>
  <c r="AK8" i="10"/>
  <c r="AJ8" i="10"/>
  <c r="AI8" i="10"/>
  <c r="AN7" i="10"/>
  <c r="AM7" i="10"/>
  <c r="AL7" i="10"/>
  <c r="AK7" i="10"/>
  <c r="AJ7" i="10"/>
  <c r="AI7" i="10"/>
  <c r="AK31" i="8"/>
  <c r="AK30" i="8"/>
  <c r="AK29" i="8"/>
  <c r="AK28" i="8"/>
  <c r="AK27" i="8"/>
  <c r="AK26" i="8"/>
  <c r="AK25" i="8"/>
  <c r="AK24" i="8"/>
  <c r="AK23" i="8"/>
  <c r="AK22" i="8"/>
  <c r="AJ31" i="8"/>
  <c r="AJ30" i="8"/>
  <c r="AJ29" i="8"/>
  <c r="AJ28" i="8"/>
  <c r="AJ27" i="8"/>
  <c r="AJ26" i="8"/>
  <c r="AJ25" i="8"/>
  <c r="AJ24" i="8"/>
  <c r="AJ23" i="8"/>
  <c r="AJ22" i="8"/>
  <c r="AI31" i="8"/>
  <c r="AI30" i="8"/>
  <c r="AI29" i="8"/>
  <c r="AI28" i="8"/>
  <c r="AI27" i="8"/>
  <c r="AI26" i="8"/>
  <c r="AI25" i="8"/>
  <c r="AI24" i="8"/>
  <c r="AI23" i="8"/>
  <c r="AI22" i="8"/>
  <c r="AH31" i="8"/>
  <c r="AH30" i="8"/>
  <c r="AH29" i="8"/>
  <c r="AH28" i="8"/>
  <c r="AH27" i="8"/>
  <c r="AH26" i="8"/>
  <c r="AH25" i="8"/>
  <c r="AH24" i="8"/>
  <c r="AH23" i="8"/>
  <c r="AH22" i="8"/>
  <c r="AG31" i="8"/>
  <c r="AG30" i="8"/>
  <c r="AG29" i="8"/>
  <c r="AG28" i="8"/>
  <c r="AG27" i="8"/>
  <c r="AG26" i="8"/>
  <c r="AG25" i="8"/>
  <c r="AG24" i="8"/>
  <c r="AG23" i="8"/>
  <c r="AG22" i="8"/>
  <c r="AF31" i="8"/>
  <c r="AF30" i="8"/>
  <c r="AF29" i="8"/>
  <c r="AF28" i="8"/>
  <c r="AF27" i="8"/>
  <c r="AF26" i="8"/>
  <c r="AF25" i="8"/>
  <c r="AF24" i="8"/>
  <c r="AF23" i="8"/>
  <c r="AF22" i="8"/>
  <c r="AE31" i="8"/>
  <c r="AE30" i="8"/>
  <c r="AE29" i="8"/>
  <c r="AE28" i="8"/>
  <c r="AE27" i="8"/>
  <c r="AE26" i="8"/>
  <c r="AE25" i="8"/>
  <c r="AE24" i="8"/>
  <c r="AE23" i="8"/>
  <c r="AE22" i="8"/>
  <c r="AK8" i="8"/>
  <c r="AK9" i="8"/>
  <c r="AK10" i="8"/>
  <c r="AK11" i="8"/>
  <c r="AK12" i="8"/>
  <c r="AK13" i="8"/>
  <c r="AK14" i="8"/>
  <c r="AK15" i="8"/>
  <c r="AK16" i="8"/>
  <c r="AK7" i="8"/>
  <c r="AI16" i="8"/>
  <c r="AI15" i="8"/>
  <c r="AI14" i="8"/>
  <c r="AI13" i="8"/>
  <c r="AI12" i="8"/>
  <c r="AI11" i="8"/>
  <c r="AI10" i="8"/>
  <c r="AI9" i="8"/>
  <c r="AI8" i="8"/>
  <c r="AI7" i="8"/>
  <c r="BT19" i="8"/>
  <c r="BT18" i="8"/>
  <c r="BT17" i="8"/>
  <c r="BR19" i="8"/>
  <c r="BR18" i="8"/>
  <c r="BR17" i="8"/>
  <c r="BQ19" i="8"/>
  <c r="BQ18" i="8"/>
  <c r="BQ17" i="8"/>
  <c r="BP19" i="8"/>
  <c r="BP18" i="8"/>
  <c r="BP17" i="8"/>
  <c r="BO19" i="8"/>
  <c r="BO18" i="8"/>
  <c r="BO17" i="8"/>
  <c r="BT9" i="8"/>
  <c r="BT8" i="8"/>
  <c r="BT7" i="8"/>
  <c r="BR9" i="8"/>
  <c r="BR8" i="8"/>
  <c r="BR7" i="8"/>
  <c r="AJ16" i="8"/>
  <c r="AH16" i="8"/>
  <c r="AG16" i="8"/>
  <c r="AJ15" i="8"/>
  <c r="AH15" i="8"/>
  <c r="AG15" i="8"/>
  <c r="AJ14" i="8"/>
  <c r="AH14" i="8"/>
  <c r="AG14" i="8"/>
  <c r="AJ13" i="8"/>
  <c r="AH13" i="8"/>
  <c r="AG13" i="8"/>
  <c r="AJ12" i="8"/>
  <c r="AH12" i="8"/>
  <c r="AG12" i="8"/>
  <c r="AJ11" i="8"/>
  <c r="AH11" i="8"/>
  <c r="AG11" i="8"/>
  <c r="AJ10" i="8"/>
  <c r="AH10" i="8"/>
  <c r="AG10" i="8"/>
  <c r="AJ9" i="8"/>
  <c r="AH9" i="8"/>
  <c r="AG9" i="8"/>
  <c r="AJ8" i="8"/>
  <c r="AH8" i="8"/>
  <c r="AG8" i="8"/>
  <c r="AJ7" i="8"/>
  <c r="AH7" i="8"/>
  <c r="AG7" i="8"/>
  <c r="AF16" i="8"/>
  <c r="AF15" i="8"/>
  <c r="AF14" i="8"/>
  <c r="AF13" i="8"/>
  <c r="AF12" i="8"/>
  <c r="AF11" i="8"/>
  <c r="AF10" i="8"/>
  <c r="AF9" i="8"/>
  <c r="AF8" i="8"/>
  <c r="AF7" i="8"/>
  <c r="AE16" i="8"/>
  <c r="AE15" i="8"/>
  <c r="AE14" i="8"/>
  <c r="AE13" i="8"/>
  <c r="AE12" i="8"/>
  <c r="AE11" i="8"/>
  <c r="AE10" i="8"/>
  <c r="AE9" i="8"/>
  <c r="AE8" i="8"/>
  <c r="AE7" i="8"/>
  <c r="L38" i="8"/>
  <c r="L39" i="8"/>
  <c r="L40" i="8"/>
  <c r="L41" i="8"/>
  <c r="L42" i="8"/>
  <c r="L43" i="8"/>
  <c r="L44" i="8"/>
  <c r="L45" i="8"/>
  <c r="L46" i="8"/>
  <c r="L37" i="8"/>
  <c r="L23" i="8"/>
  <c r="L24" i="8"/>
  <c r="L25" i="8"/>
  <c r="L26" i="8"/>
  <c r="L27" i="8"/>
  <c r="L28" i="8"/>
  <c r="L29" i="8"/>
  <c r="L30" i="8"/>
  <c r="L31" i="8"/>
  <c r="L22" i="8"/>
  <c r="L8" i="8"/>
  <c r="L9" i="8"/>
  <c r="L10" i="8"/>
  <c r="L11" i="8"/>
  <c r="L12" i="8"/>
  <c r="L13" i="8"/>
  <c r="L14" i="8"/>
  <c r="L15" i="8"/>
  <c r="L16" i="8"/>
  <c r="L7" i="8"/>
  <c r="G46" i="8"/>
  <c r="G45" i="8"/>
  <c r="G44" i="8"/>
  <c r="G43" i="8"/>
  <c r="G42" i="8"/>
  <c r="G41" i="8"/>
  <c r="G40" i="8"/>
  <c r="G39" i="8"/>
  <c r="G38" i="8"/>
  <c r="G37" i="8"/>
  <c r="G31" i="8"/>
  <c r="G30" i="8"/>
  <c r="G29" i="8"/>
  <c r="G28" i="8"/>
  <c r="G27" i="8"/>
  <c r="G26" i="8"/>
  <c r="G25" i="8"/>
  <c r="G24" i="8"/>
  <c r="G23" i="8"/>
  <c r="G22" i="8"/>
  <c r="G8" i="8"/>
  <c r="G9" i="8"/>
  <c r="G10" i="8"/>
  <c r="G11" i="8"/>
  <c r="G12" i="8"/>
  <c r="G13" i="8"/>
  <c r="G14" i="8"/>
  <c r="G15" i="8"/>
  <c r="G16" i="8"/>
  <c r="G7" i="8"/>
</calcChain>
</file>

<file path=xl/sharedStrings.xml><?xml version="1.0" encoding="utf-8"?>
<sst xmlns="http://schemas.openxmlformats.org/spreadsheetml/2006/main" count="1158" uniqueCount="357">
  <si>
    <t>Pandemics &amp; Diffussion Models</t>
  </si>
  <si>
    <t>id</t>
  </si>
  <si>
    <t>title</t>
  </si>
  <si>
    <t>link</t>
  </si>
  <si>
    <t>https://link.springer.com/article/10.1007/s10559-022-00438-1</t>
  </si>
  <si>
    <t>Substantiating the Diffusion Model of Innovation Implementation and its Application to Vaccine Propagation</t>
  </si>
  <si>
    <t>Topics</t>
  </si>
  <si>
    <t>Bass model for vaccines in ukraine and belrus 2021</t>
  </si>
  <si>
    <t>https://link.springer.com/chapter/10.1007/978-3-030-85053-1_5</t>
  </si>
  <si>
    <t>Sub-epidemic Model Forecasts During the First Wave of the COVID-19 Pandemic in the USA and European Hotspots</t>
  </si>
  <si>
    <t xml:space="preserve">Models of no single peak, 5 parameter model, covid-19, european forecast,  improvement on richards model, </t>
  </si>
  <si>
    <t>https://link.springer.com/article/10.1007/s41403-020-00112-y?fromPaywallRec=true</t>
  </si>
  <si>
    <t>Temporal Dynamics of COVID-19 Outbreak and Future Projections: A Data-Driven Approach</t>
  </si>
  <si>
    <t xml:space="preserve">COVID-19 Gauss shape but slower decay and faster contagion, </t>
  </si>
  <si>
    <t>https://link.springer.com/article/10.1038/s41598-023-40990-0?fromPaywallRec=true</t>
  </si>
  <si>
    <t>Differences in COVID-19 cyclicity and predictability among U.S. counties and states reflect the effectiveness of protective measures</t>
  </si>
  <si>
    <t xml:space="preserve">COVID-19 cycles, forecast outlook of r(t), </t>
  </si>
  <si>
    <t>https://link.springer.com/article/10.1057/s41270-021-00106-x</t>
  </si>
  <si>
    <t>Extended innovation diffusion models and their empirical performance on real propagation data</t>
  </si>
  <si>
    <t>Extension of logit, bass, gompertz, observed process is result of unobserved process: mobile phone subscribers</t>
  </si>
  <si>
    <t>https://arxiv.org/abs/2201.04960</t>
  </si>
  <si>
    <t>Unifying Epidemic Models with Mixtures</t>
  </si>
  <si>
    <t xml:space="preserve">Mechanic vs non-mechanic (time series), mixture of both, natural outcome of SIR, Machine learning(fit on data), </t>
  </si>
  <si>
    <t>https://arxiv.org/abs/2402.15528</t>
  </si>
  <si>
    <t>The Bass diffusion model: agent-based implementation on arbitrary networks</t>
  </si>
  <si>
    <t>large flexibility agent-based network simulations of the classical Bass diffusion, Barabasi network, scale free network</t>
  </si>
  <si>
    <t>https://pubmed.ncbi.nlm.nih.gov/32214667/</t>
  </si>
  <si>
    <t>Pattern formation of an epidemic model with diffusion</t>
  </si>
  <si>
    <t>Nonlinear incidence rates; Pattern formation; Spatial epidemic model.</t>
  </si>
  <si>
    <t>https://www.research.unipd.it/bitstream/11577/3442258/1/2009_10_20090525131912.pdf</t>
  </si>
  <si>
    <t>Market potential dynamics in innovation diffusion: modelling the synergy between two driving forces</t>
  </si>
  <si>
    <t>Diffussion is communication and adoption, there is a slowdown</t>
  </si>
  <si>
    <t>Communication : news, information on disease… / Adoption: vaccines, facemasks,…</t>
  </si>
  <si>
    <t>GGM</t>
  </si>
  <si>
    <t>Communication Rate (C(t)): Represents information spread, driven by media, public health campaigns, or word-of-mouth.</t>
  </si>
  <si>
    <t>Adoption Rate (A(t)): Reflects behavioral changes, such as vaccination uptake or compliance with social measures.</t>
  </si>
  <si>
    <t>Susceptible Population (S(t)): Analogous to the market potential, evolving dynamically based on communication and adoption</t>
  </si>
  <si>
    <t>Incorporate Exogenous Factors: Add an external intervention function  x(t), modeling effects like vaccination campaigns, lockdowns, or policy changes</t>
  </si>
  <si>
    <t>Parameter Estimation: Calibrate parameters using epidemic data, like infection rates, vaccination uptake, or social media activity. By country, region,</t>
  </si>
  <si>
    <t>Simulation and Validation: Simulate the model using historical data on disease spread and interventions, and validate against observed patterns.</t>
  </si>
  <si>
    <t>https://www.ijournalse.org/index.php/ESJ/article/view/526</t>
  </si>
  <si>
    <t>The Effect of Swabs on Modeling the First Wave of the COVID-19 Pandemic in Italy</t>
  </si>
  <si>
    <t>nonlinear asymmetric diffusion model, includes information of swabs daily, better than 6 already existing models, including SIRD &amp; Logit</t>
  </si>
  <si>
    <t>https://www.sciencedirect.com/science/article/pii/S0148296320308079</t>
  </si>
  <si>
    <t>A novel diffusion-based model for estimating cases, and fatalities in epidemics: The case of COVID-19</t>
  </si>
  <si>
    <t xml:space="preserve">ADBUDG, Gompertz, and Bass models, , we developed and used a modified/improved version of the original Bass </t>
  </si>
  <si>
    <t>https://www.emerald.com/insight/content/doi/10.1108/ijphm-06-2020-0056/full/html?skipTracking=true</t>
  </si>
  <si>
    <t>The Bass Model: a parsimonious and accurate approach to forecasting mortality caused by COVID-19</t>
  </si>
  <si>
    <t>Calibrate bass model for deaths in 3 states of US, good peformance of the model</t>
  </si>
  <si>
    <t>https://www.sciencedirect.com/science/article/abs/pii/S0378437124007337</t>
  </si>
  <si>
    <t>Extended Bass model on the power-law epidemics growth and its implications on spatially heterogeneous systems</t>
  </si>
  <si>
    <t>sub-exponential power-law growth, extended version of the discrete Bass model (Weibull), consistent with the large power-law growth exponents for pandemics</t>
  </si>
  <si>
    <t>Thesis structure</t>
  </si>
  <si>
    <t>Question ~</t>
  </si>
  <si>
    <t>Simpler version: once pancemic or epidemic declared, have a model that forecasts the upcoming weeks, months</t>
  </si>
  <si>
    <t>Why?</t>
  </si>
  <si>
    <t>For insurance company (life, health, property &amp; cassualty, auto) is key to know how much claims will have to pay, adjust tariff more swiftly, adjust investment portfolio</t>
  </si>
  <si>
    <t>Related topics:</t>
  </si>
  <si>
    <t>Network science - Prof Erseghe</t>
  </si>
  <si>
    <t>Find a model, like the ggm, that based on early cases can forecast pandemic outbreak (early on)</t>
  </si>
  <si>
    <t>https://github.com/CSSEGISandData/COVID-19</t>
  </si>
  <si>
    <t>Sources</t>
  </si>
  <si>
    <t>Link</t>
  </si>
  <si>
    <t>https://github.com/covid19db/data</t>
  </si>
  <si>
    <t>Oxford response tracker</t>
  </si>
  <si>
    <t>Johns Hopkins data time series</t>
  </si>
  <si>
    <t>https://github.com/OxCGRT/covid-policy-dataset/tree/main</t>
  </si>
  <si>
    <t>Oxford response tracker, oficial data</t>
  </si>
  <si>
    <t>Info</t>
  </si>
  <si>
    <t>Structure</t>
  </si>
  <si>
    <t>Time series per country, latitude and longitude of countries</t>
  </si>
  <si>
    <t>https://www.who.int/emergencies/disease-outbreak-news</t>
  </si>
  <si>
    <t>News on epidemics breakout</t>
  </si>
  <si>
    <t>https://www.cdc.gov/bird-flu/situation-summary/index.html</t>
  </si>
  <si>
    <t>Bird Flu Cases</t>
  </si>
  <si>
    <t>https://www.ins.gov.co/buscador-eventos/Paginas/Vista-Boletin-Epidemilogico.aspx</t>
  </si>
  <si>
    <t>https://www.sciencedirect.com/science/article/pii/S2667074724000417</t>
  </si>
  <si>
    <t>An effective drift-diffusion model for pandemic propagation and uncertainty prediction</t>
  </si>
  <si>
    <t>SIR, SIR + uncertainty</t>
  </si>
  <si>
    <t>https://pmc.ncbi.nlm.nih.gov/articles/PMC7706427/#:~:text=The%20diffusion%20models%20we%20use,%2C%20and%20Chapman%2DRichards%20models.</t>
  </si>
  <si>
    <t>Controlling Epidemic Spread using Probabilistic Diffusion Models on Networks</t>
  </si>
  <si>
    <t>https://arxiv.org/abs/2202.08296</t>
  </si>
  <si>
    <t>SIR + Social Network</t>
  </si>
  <si>
    <t>https://link.springer.com/article/10.1007/s00521-021-06376-x</t>
  </si>
  <si>
    <t>Machine learning-based diffusion model for prediction of coronavirus-19 outbreak</t>
  </si>
  <si>
    <t>ML and SIR</t>
  </si>
  <si>
    <t>https://gisaid.org/</t>
  </si>
  <si>
    <t>Genomic data on viruses</t>
  </si>
  <si>
    <t>https://worldhealthorg.shinyapps.io/flunetchart/</t>
  </si>
  <si>
    <t>Influenza data</t>
  </si>
  <si>
    <t>Influenza by country and by type (H1N1, H5…)</t>
  </si>
  <si>
    <t>Ideas</t>
  </si>
  <si>
    <t>Monitor this to predict global outbreaks</t>
  </si>
  <si>
    <t>Idea</t>
  </si>
  <si>
    <t>Add text tracker on news</t>
  </si>
  <si>
    <t>Add google trends tracker</t>
  </si>
  <si>
    <t>GGM on selected countries</t>
  </si>
  <si>
    <t>Bass Model on selected countries</t>
  </si>
  <si>
    <t>UCDRC on selected countries: Covid vs Vaccines</t>
  </si>
  <si>
    <t>SIR on selected contries</t>
  </si>
  <si>
    <t>SIR with uncertainty on selected countries</t>
  </si>
  <si>
    <t>DL models like RNN: Include external covariates</t>
  </si>
  <si>
    <t>Add air quality</t>
  </si>
  <si>
    <t>Oceanic El Nino</t>
  </si>
  <si>
    <t>Monitor WHO data to predict pandemic outbreak</t>
  </si>
  <si>
    <t>Pandemics are random - but news can tell us when there is a breaking t</t>
  </si>
  <si>
    <t>Understand pandemic "factors"</t>
  </si>
  <si>
    <t>Build models that contrast epidemic with pandemic to see determinant factors</t>
  </si>
  <si>
    <t>https://www.sciencedirect.com/science/article/pii/S1477893923001369</t>
  </si>
  <si>
    <t>Predicting the next pandemic: VACCELERATE ranking of the World Health Organization's Blueprint for Action to Prevent Epidemics</t>
  </si>
  <si>
    <t>Include vaccination "index"</t>
  </si>
  <si>
    <t>https://www.cdc.gov/forecast-outbreak-analytics/index.html</t>
  </si>
  <si>
    <t>CDC Center of forecasting</t>
  </si>
  <si>
    <t>New, transmitable and not grave enough: Pandemic / not the very mortal ones</t>
  </si>
  <si>
    <t>Mpox</t>
  </si>
  <si>
    <r>
      <rPr>
        <b/>
        <sz val="11"/>
        <color theme="1"/>
        <rFont val="Aptos Narrow"/>
        <family val="2"/>
        <scheme val="minor"/>
      </rPr>
      <t xml:space="preserve">Measels, </t>
    </r>
    <r>
      <rPr>
        <sz val="11"/>
        <color theme="1"/>
        <rFont val="Aptos Narrow"/>
        <family val="2"/>
        <scheme val="minor"/>
      </rPr>
      <t>anti-vax movement</t>
    </r>
  </si>
  <si>
    <t>Next pandemic is going to be milder because we are more preppared?</t>
  </si>
  <si>
    <t>Add network structure via location, nodes can have info like pop density, development data (water, interconnectivity, nutrition, shelter ….)</t>
  </si>
  <si>
    <t>https://datacatalog.worldbank.org/search/dataset/0037712/World-Development-Indicators</t>
  </si>
  <si>
    <t>Yearly development indicators</t>
  </si>
  <si>
    <t>Use World Bank Develpoment indicators as predictor of covid impact</t>
  </si>
  <si>
    <t>https://arxiv.org/html/2403.19852v2</t>
  </si>
  <si>
    <t>GNN</t>
  </si>
  <si>
    <t>A Review of Graph Neural Networks in Epidemic Modeling</t>
  </si>
  <si>
    <t>Papers on pandemic modelling</t>
  </si>
  <si>
    <t>https://github.com/Emory-Melody/awesome-epidemic-modeling-papers</t>
  </si>
  <si>
    <t>https://medata.gov.co/dataset/1-026-22-000171</t>
  </si>
  <si>
    <t>https://portalsivigila.ins.gov.co/Paginas/Buscador.aspx</t>
  </si>
  <si>
    <t>Medellin Data Sivigila / dengue, zika,…2019-2025</t>
  </si>
  <si>
    <t>Modelling</t>
  </si>
  <si>
    <t>Group</t>
  </si>
  <si>
    <t>Model</t>
  </si>
  <si>
    <t>Status</t>
  </si>
  <si>
    <t>Bass</t>
  </si>
  <si>
    <t>OK</t>
  </si>
  <si>
    <t>SIR</t>
  </si>
  <si>
    <t>SEIR</t>
  </si>
  <si>
    <t>Erdős-Rényi</t>
  </si>
  <si>
    <t>Barabasi</t>
  </si>
  <si>
    <t>GGM + refinement</t>
  </si>
  <si>
    <t>SVM</t>
  </si>
  <si>
    <t>DNN</t>
  </si>
  <si>
    <t>RNN</t>
  </si>
  <si>
    <t>Transformers</t>
  </si>
  <si>
    <t>Help</t>
  </si>
  <si>
    <t>List status</t>
  </si>
  <si>
    <t>Pending</t>
  </si>
  <si>
    <t>Covid Full</t>
  </si>
  <si>
    <t>Covid Split</t>
  </si>
  <si>
    <t>Epidemics Full</t>
  </si>
  <si>
    <t>Epidemics Split</t>
  </si>
  <si>
    <t>https://www.sciencedirect.com/science/article/pii/S2666720722000145</t>
  </si>
  <si>
    <t>SEIR fit italy</t>
  </si>
  <si>
    <t>Do Local Regression or LOESS</t>
  </si>
  <si>
    <t>https://arxiv.org/html/2403.12560v1</t>
  </si>
  <si>
    <t>Erdos-Renyi-SIS</t>
  </si>
  <si>
    <t>The SIS process on Erdős-Rényi graphs: determining the infected fraction</t>
  </si>
  <si>
    <t>https://www.sciencedirect.com/science/article/pii/S1110016822004835</t>
  </si>
  <si>
    <t>Numerical simulations on scale-free and random networks for the spread of COVID-19 in Pakistan</t>
  </si>
  <si>
    <t>Erdos-Renyi-Barabasi-Albert-SIR</t>
  </si>
  <si>
    <t>Network simulation fine-tunning parameters with loss function</t>
  </si>
  <si>
    <t>Notes</t>
  </si>
  <si>
    <t>Country</t>
  </si>
  <si>
    <t>R2_BM</t>
  </si>
  <si>
    <t>RMSE_BM</t>
  </si>
  <si>
    <t>R2_GGM</t>
  </si>
  <si>
    <t>RMSE_GGM</t>
  </si>
  <si>
    <t>Brazil</t>
  </si>
  <si>
    <t>Chile</t>
  </si>
  <si>
    <t>Colombia</t>
  </si>
  <si>
    <t>Dominican Republic</t>
  </si>
  <si>
    <t>Germany</t>
  </si>
  <si>
    <t>Italy</t>
  </si>
  <si>
    <t>Mexico</t>
  </si>
  <si>
    <t>Panama</t>
  </si>
  <si>
    <t>Uruguay</t>
  </si>
  <si>
    <t>US</t>
  </si>
  <si>
    <t>Daily Full Covid</t>
  </si>
  <si>
    <t>Winner</t>
  </si>
  <si>
    <t>Weekly Full Covid</t>
  </si>
  <si>
    <t>Monthly Full Covid</t>
  </si>
  <si>
    <t>Is too computationally heavy / only do for Colombian Epidemics</t>
  </si>
  <si>
    <t>Non-linear Adoption models</t>
  </si>
  <si>
    <t>R2</t>
  </si>
  <si>
    <t>RMSE</t>
  </si>
  <si>
    <t>GGM+Arima</t>
  </si>
  <si>
    <t>RMSE vs GGM</t>
  </si>
  <si>
    <t>Dominican Republic</t>
  </si>
  <si>
    <t>RMSE Summary</t>
  </si>
  <si>
    <t>BM</t>
  </si>
  <si>
    <t>GGM + ARIMA</t>
  </si>
  <si>
    <t>Series</t>
  </si>
  <si>
    <t>Dengue</t>
  </si>
  <si>
    <t>Zika</t>
  </si>
  <si>
    <t>Epidemics Weekly Full</t>
  </si>
  <si>
    <t>BM  + GGM</t>
  </si>
  <si>
    <t>GGM + Refinement</t>
  </si>
  <si>
    <t>Chicunguya</t>
  </si>
  <si>
    <t>GGM+Refinement</t>
  </si>
  <si>
    <t>R2 Summary</t>
  </si>
  <si>
    <t>Google trends health</t>
  </si>
  <si>
    <t>Pytrends useful categories</t>
  </si>
  <si>
    <t>Health News: 1253</t>
  </si>
  <si>
    <t>Health Policy: 1256</t>
  </si>
  <si>
    <t>Medical Facilities &amp; Services: 256</t>
  </si>
  <si>
    <t>Public Health: 947</t>
  </si>
  <si>
    <t>Health Conditions: 419</t>
  </si>
  <si>
    <t>Health: 45</t>
  </si>
  <si>
    <t>https://journals.sagepub.com/doi/10.1177/14604582241275844?icid=int.sj-full-text.citing-articles.1</t>
  </si>
  <si>
    <t>ML epidemics</t>
  </si>
  <si>
    <t>AI-based epidemic and pandemic early warning systems: A systematic scoping review</t>
  </si>
  <si>
    <t>temperature, humitiy</t>
  </si>
  <si>
    <t>demographic density</t>
  </si>
  <si>
    <t># healt facilities</t>
  </si>
  <si>
    <t>uv radiation band, ask einer</t>
  </si>
  <si>
    <t>altimetry</t>
  </si>
  <si>
    <t>WASTEWATER</t>
  </si>
  <si>
    <t>pharmacy sales</t>
  </si>
  <si>
    <t>pharmacy google trends</t>
  </si>
  <si>
    <t>animal health data</t>
  </si>
  <si>
    <t>do hybrid GGM-ML / SIR-ML</t>
  </si>
  <si>
    <t>Use alternative data (satelite, mobility, searches, nlp_</t>
  </si>
  <si>
    <t>do ggm for many data that does not become pandemic</t>
  </si>
  <si>
    <t>https://www.sciencedirect.com/science/article/abs/pii/S0360835224002249</t>
  </si>
  <si>
    <t>Prediction of Covid-19 confirmed cases and deaths using hybrid support vector machine-Taguchi method</t>
  </si>
  <si>
    <t xml:space="preserve">SVM-Taguchi </t>
  </si>
  <si>
    <t>This has a strong literature review</t>
  </si>
  <si>
    <t>Models Usde in literature</t>
  </si>
  <si>
    <t>GBR</t>
  </si>
  <si>
    <t>XGBR</t>
  </si>
  <si>
    <t>SVR</t>
  </si>
  <si>
    <t>DTR</t>
  </si>
  <si>
    <t>decision tree regressor</t>
  </si>
  <si>
    <t>suport vector regressor</t>
  </si>
  <si>
    <t>NN</t>
  </si>
  <si>
    <t>GAM</t>
  </si>
  <si>
    <t>CNN</t>
  </si>
  <si>
    <t>GRU</t>
  </si>
  <si>
    <t>LSTM</t>
  </si>
  <si>
    <t>ARIMA</t>
  </si>
  <si>
    <t>PCA</t>
  </si>
  <si>
    <t>OLS</t>
  </si>
  <si>
    <t>info</t>
  </si>
  <si>
    <t>Variables Used in Literature</t>
  </si>
  <si>
    <t>Stringency index</t>
  </si>
  <si>
    <t>Have it?</t>
  </si>
  <si>
    <t>yes</t>
  </si>
  <si>
    <t>Cases</t>
  </si>
  <si>
    <t>Deaths</t>
  </si>
  <si>
    <t>no</t>
  </si>
  <si>
    <t>Population</t>
  </si>
  <si>
    <t>Population density</t>
  </si>
  <si>
    <t>Average age</t>
  </si>
  <si>
    <t>Human development index</t>
  </si>
  <si>
    <t>Elevation</t>
  </si>
  <si>
    <t>Max temperature</t>
  </si>
  <si>
    <t>Min temperature</t>
  </si>
  <si>
    <t>Avg temperature</t>
  </si>
  <si>
    <t>Humidity</t>
  </si>
  <si>
    <t>Wind speed</t>
  </si>
  <si>
    <t>Pollution level</t>
  </si>
  <si>
    <t>UV index</t>
  </si>
  <si>
    <t>Traffic data (google mobility)</t>
  </si>
  <si>
    <t>Weather</t>
  </si>
  <si>
    <t>Economic support index</t>
  </si>
  <si>
    <t>Rainfall</t>
  </si>
  <si>
    <t>https://zenodo.org/records/13683259</t>
  </si>
  <si>
    <t>Google mobility alternative</t>
  </si>
  <si>
    <t>Prophet</t>
  </si>
  <si>
    <t>https://ads.atmosphere.copernicus.eu/datasets</t>
  </si>
  <si>
    <t>pollution, uv….</t>
  </si>
  <si>
    <t>https://cds.climate.copernicus.eu/datasets</t>
  </si>
  <si>
    <t>pollution, uv…., european data but is global</t>
  </si>
  <si>
    <t>https://aqicn.org/data-platform/covid19/</t>
  </si>
  <si>
    <t>air quality world</t>
  </si>
  <si>
    <t>https://earthkit.readthedocs.io/en/latest/examples/polytope_timeseries.html</t>
  </si>
  <si>
    <t>do an svar after doing variable selection with lasso</t>
  </si>
  <si>
    <t>kind of</t>
  </si>
  <si>
    <t>https://pmc.ncbi.nlm.nih.gov/articles/PMC9740968/</t>
  </si>
  <si>
    <t>Early Detection and Control of the Next Epidemic Wave Using Health Communications: Development of an Artificial Intelligence-Based Tool and Its Validation on COVID-19 Data from the US</t>
  </si>
  <si>
    <t>Social-Media</t>
  </si>
  <si>
    <t>Check tweets, reddits, etc with LLM to see if frequency of symptoms is on the rise, then fit a GGM on top of it</t>
  </si>
  <si>
    <t xml:space="preserve"> </t>
  </si>
  <si>
    <t>Varicela</t>
  </si>
  <si>
    <t>Weekly</t>
  </si>
  <si>
    <t>EPIDEMICS</t>
  </si>
  <si>
    <t>COVID</t>
  </si>
  <si>
    <t>BM &amp; GGM</t>
  </si>
  <si>
    <t>GGM Refined</t>
  </si>
  <si>
    <t>Chicungunya</t>
  </si>
  <si>
    <t>ElasticNet</t>
  </si>
  <si>
    <t>GradientBoosting</t>
  </si>
  <si>
    <t>Lasso</t>
  </si>
  <si>
    <t>LinearRegression</t>
  </si>
  <si>
    <t>RandomForest</t>
  </si>
  <si>
    <t>Ridge</t>
  </si>
  <si>
    <t>Cases_t_1</t>
  </si>
  <si>
    <t>Cases_t_4</t>
  </si>
  <si>
    <t>const</t>
  </si>
  <si>
    <t>L1.cases</t>
  </si>
  <si>
    <t>L2.cases</t>
  </si>
  <si>
    <t>L3.cases</t>
  </si>
  <si>
    <t>L4.cases</t>
  </si>
  <si>
    <t>L5.cases</t>
  </si>
  <si>
    <t>VAR cases log</t>
  </si>
  <si>
    <t>L4.o3</t>
  </si>
  <si>
    <t>L5.o3</t>
  </si>
  <si>
    <t>L5.Mean_distance_avg_14day_movavg</t>
  </si>
  <si>
    <t>L1.pm25</t>
  </si>
  <si>
    <t>L4.pm25</t>
  </si>
  <si>
    <t>L5.pm25</t>
  </si>
  <si>
    <t>VAR</t>
  </si>
  <si>
    <t>https://meteostat.net/en/place/co/medellin?s=80110&amp;t=2021-10-31/2024-11-16</t>
  </si>
  <si>
    <t>meteo colombia</t>
  </si>
  <si>
    <t>https://trends.google.it/trends/explore?date=2020-01-01%202023-12-31&amp;geo=UY&amp;q=%2Fm%2F05t4q,%2Fm%2F0hpnr,%2Fm%2F01rfps,%2Fm%2F01b_06&amp;hl=en-GB</t>
  </si>
  <si>
    <t>query google trends</t>
  </si>
  <si>
    <t>L1.google_symptom</t>
  </si>
  <si>
    <t>L1.google_hospital</t>
  </si>
  <si>
    <t>L1.StringencyIndex_Average</t>
  </si>
  <si>
    <t>L3.google_symptom</t>
  </si>
  <si>
    <t>L2.pm25</t>
  </si>
  <si>
    <t>L2.google_symptom</t>
  </si>
  <si>
    <t>L5.no2</t>
  </si>
  <si>
    <t>L5.google_symptom</t>
  </si>
  <si>
    <t>L3.pm25</t>
  </si>
  <si>
    <t>L4.google_symptom</t>
  </si>
  <si>
    <t>Epidemic</t>
  </si>
  <si>
    <t>Chikungunya</t>
  </si>
  <si>
    <t>Chickenpox</t>
  </si>
  <si>
    <t>L1.zika_cumulative</t>
  </si>
  <si>
    <t>L1.dengue_cumulative</t>
  </si>
  <si>
    <t>L1.prcp</t>
  </si>
  <si>
    <t>L2.pres</t>
  </si>
  <si>
    <t>L1.var_cumulative</t>
  </si>
  <si>
    <t>L2.dengue_cumulative</t>
  </si>
  <si>
    <t>L2.zika_cumulative</t>
  </si>
  <si>
    <t>L3.chik_cumulative</t>
  </si>
  <si>
    <t>L3.pres</t>
  </si>
  <si>
    <t>L5.tavg</t>
  </si>
  <si>
    <t>L2.google_pharmacy</t>
  </si>
  <si>
    <t>L5.chik_cumulative</t>
  </si>
  <si>
    <t>L3.zika_cumulative</t>
  </si>
  <si>
    <t>L4.zika_cumulative</t>
  </si>
  <si>
    <t>t+1</t>
  </si>
  <si>
    <t>L1.pm10</t>
  </si>
  <si>
    <t>L1.pres</t>
  </si>
  <si>
    <t>L3.google_hospital</t>
  </si>
  <si>
    <t>L3.pm10</t>
  </si>
  <si>
    <t>L5.humidity</t>
  </si>
  <si>
    <t>L3.so2</t>
  </si>
  <si>
    <t>https://origin.cpc.ncep.noaa.gov/products/analysis_monitoring/ensostuff/ONI_v5.php</t>
  </si>
  <si>
    <t>el nino</t>
  </si>
  <si>
    <t>build an index using the variables with highest effect on risk of propagation</t>
  </si>
  <si>
    <t>The index is just the probability scores of cases going beyond 1std</t>
  </si>
  <si>
    <t>Access to epidemic data colombia</t>
  </si>
  <si>
    <t>Writen on text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</si>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</sst>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00000"/>
  </numFmts>
  <fonts count="1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Wingdings 2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2" borderId="0" xfId="0" applyFont="1" applyFill="1"/>
    <xf numFmtId="0" fontId="3" fillId="2" borderId="0" xfId="1" applyFill="1"/>
    <xf numFmtId="0" fontId="1" fillId="2" borderId="0" xfId="0" applyFont="1" applyFill="1"/>
    <xf numFmtId="0" fontId="0" fillId="3" borderId="0" xfId="0" applyFill="1"/>
    <xf numFmtId="0" fontId="3" fillId="3" borderId="0" xfId="1" applyFill="1"/>
    <xf numFmtId="0" fontId="4" fillId="3" borderId="0" xfId="0" applyFont="1" applyFill="1"/>
    <xf numFmtId="0" fontId="6" fillId="2" borderId="1" xfId="0" applyFont="1" applyFill="1" applyBorder="1"/>
    <xf numFmtId="0" fontId="7" fillId="2" borderId="0" xfId="0" applyFont="1" applyFill="1"/>
    <xf numFmtId="0" fontId="5" fillId="2" borderId="1" xfId="0" applyFont="1" applyFill="1" applyBorder="1"/>
    <xf numFmtId="164" fontId="0" fillId="2" borderId="0" xfId="0" applyNumberFormat="1" applyFill="1"/>
    <xf numFmtId="0" fontId="6" fillId="2" borderId="0" xfId="0" applyFont="1" applyFill="1"/>
    <xf numFmtId="3" fontId="0" fillId="2" borderId="0" xfId="0" applyNumberFormat="1" applyFill="1"/>
    <xf numFmtId="165" fontId="0" fillId="2" borderId="0" xfId="0" applyNumberFormat="1" applyFill="1"/>
    <xf numFmtId="165" fontId="0" fillId="3" borderId="0" xfId="0" applyNumberFormat="1" applyFill="1"/>
    <xf numFmtId="3" fontId="0" fillId="3" borderId="0" xfId="0" applyNumberFormat="1" applyFill="1"/>
    <xf numFmtId="164" fontId="0" fillId="3" borderId="0" xfId="0" applyNumberFormat="1" applyFill="1"/>
    <xf numFmtId="0" fontId="8" fillId="2" borderId="0" xfId="0" applyFont="1" applyFill="1"/>
    <xf numFmtId="0" fontId="0" fillId="4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6" fontId="0" fillId="2" borderId="0" xfId="0" applyNumberFormat="1" applyFill="1"/>
    <xf numFmtId="166" fontId="0" fillId="3" borderId="0" xfId="0" applyNumberFormat="1" applyFill="1"/>
    <xf numFmtId="4" fontId="0" fillId="2" borderId="0" xfId="0" applyNumberFormat="1" applyFill="1"/>
    <xf numFmtId="4" fontId="0" fillId="3" borderId="0" xfId="0" applyNumberFormat="1" applyFill="1"/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0" fillId="5" borderId="0" xfId="0" applyFill="1"/>
    <xf numFmtId="0" fontId="5" fillId="2" borderId="0" xfId="0" applyFont="1" applyFill="1"/>
    <xf numFmtId="167" fontId="0" fillId="2" borderId="0" xfId="0" applyNumberFormat="1" applyFill="1"/>
    <xf numFmtId="167" fontId="0" fillId="3" borderId="0" xfId="0" applyNumberFormat="1" applyFill="1"/>
    <xf numFmtId="2" fontId="0" fillId="2" borderId="0" xfId="0" applyNumberFormat="1" applyFill="1"/>
    <xf numFmtId="2" fontId="0" fillId="3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0" xfId="1" applyFill="1"/>
    <xf numFmtId="0" fontId="1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2214667/" TargetMode="External"/><Relationship Id="rId13" Type="http://schemas.openxmlformats.org/officeDocument/2006/relationships/hyperlink" Target="https://www.sciencedirect.com/science/article/abs/pii/S0378437124007337" TargetMode="External"/><Relationship Id="rId18" Type="http://schemas.openxmlformats.org/officeDocument/2006/relationships/hyperlink" Target="https://www.sciencedirect.com/science/article/pii/S1477893923001369" TargetMode="External"/><Relationship Id="rId3" Type="http://schemas.openxmlformats.org/officeDocument/2006/relationships/hyperlink" Target="https://link.springer.com/article/10.1007/s41403-020-00112-y?fromPaywallRec=true" TargetMode="External"/><Relationship Id="rId21" Type="http://schemas.openxmlformats.org/officeDocument/2006/relationships/hyperlink" Target="https://www.sciencedirect.com/science/article/pii/S1110016822004835" TargetMode="External"/><Relationship Id="rId7" Type="http://schemas.openxmlformats.org/officeDocument/2006/relationships/hyperlink" Target="https://arxiv.org/abs/2402.15528" TargetMode="External"/><Relationship Id="rId12" Type="http://schemas.openxmlformats.org/officeDocument/2006/relationships/hyperlink" Target="https://www.emerald.com/insight/content/doi/10.1108/ijphm-06-2020-0056/full/html?skipTracking=true" TargetMode="External"/><Relationship Id="rId17" Type="http://schemas.openxmlformats.org/officeDocument/2006/relationships/hyperlink" Target="https://link.springer.com/article/10.1007/s00521-021-06376-x" TargetMode="External"/><Relationship Id="rId2" Type="http://schemas.openxmlformats.org/officeDocument/2006/relationships/hyperlink" Target="https://link.springer.com/chapter/10.1007/978-3-030-85053-1_5" TargetMode="External"/><Relationship Id="rId16" Type="http://schemas.openxmlformats.org/officeDocument/2006/relationships/hyperlink" Target="https://arxiv.org/abs/2202.08296" TargetMode="External"/><Relationship Id="rId20" Type="http://schemas.openxmlformats.org/officeDocument/2006/relationships/hyperlink" Target="https://arxiv.org/html/2403.12560v1" TargetMode="External"/><Relationship Id="rId1" Type="http://schemas.openxmlformats.org/officeDocument/2006/relationships/hyperlink" Target="https://link.springer.com/article/10.1007/s10559-022-00438-1" TargetMode="External"/><Relationship Id="rId6" Type="http://schemas.openxmlformats.org/officeDocument/2006/relationships/hyperlink" Target="https://arxiv.org/abs/2201.04960" TargetMode="External"/><Relationship Id="rId11" Type="http://schemas.openxmlformats.org/officeDocument/2006/relationships/hyperlink" Target="https://www.sciencedirect.com/science/article/pii/S0148296320308079" TargetMode="External"/><Relationship Id="rId24" Type="http://schemas.openxmlformats.org/officeDocument/2006/relationships/hyperlink" Target="https://pmc.ncbi.nlm.nih.gov/articles/PMC9740968/" TargetMode="External"/><Relationship Id="rId5" Type="http://schemas.openxmlformats.org/officeDocument/2006/relationships/hyperlink" Target="https://link.springer.com/article/10.1057/s41270-021-00106-x" TargetMode="External"/><Relationship Id="rId15" Type="http://schemas.openxmlformats.org/officeDocument/2006/relationships/hyperlink" Target="https://pmc.ncbi.nlm.nih.gov/articles/PMC7706427/" TargetMode="External"/><Relationship Id="rId23" Type="http://schemas.openxmlformats.org/officeDocument/2006/relationships/hyperlink" Target="https://www.sciencedirect.com/science/article/abs/pii/S0360835224002249" TargetMode="External"/><Relationship Id="rId10" Type="http://schemas.openxmlformats.org/officeDocument/2006/relationships/hyperlink" Target="https://www.ijournalse.org/index.php/ESJ/article/view/526" TargetMode="External"/><Relationship Id="rId19" Type="http://schemas.openxmlformats.org/officeDocument/2006/relationships/hyperlink" Target="https://arxiv.org/html/2403.19852v2" TargetMode="External"/><Relationship Id="rId4" Type="http://schemas.openxmlformats.org/officeDocument/2006/relationships/hyperlink" Target="https://link.springer.com/article/10.1038/s41598-023-40990-0?fromPaywallRec=true" TargetMode="External"/><Relationship Id="rId9" Type="http://schemas.openxmlformats.org/officeDocument/2006/relationships/hyperlink" Target="https://www.research.unipd.it/bitstream/11577/3442258/1/2009_10_20090525131912.pdf" TargetMode="External"/><Relationship Id="rId14" Type="http://schemas.openxmlformats.org/officeDocument/2006/relationships/hyperlink" Target="https://www.sciencedirect.com/science/article/pii/S2667074724000417" TargetMode="External"/><Relationship Id="rId22" Type="http://schemas.openxmlformats.org/officeDocument/2006/relationships/hyperlink" Target="https://journals.sagepub.com/doi/10.1177/14604582241275844?icid=int.sj-full-text.citing-articles.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healthorg.shinyapps.io/flunetchart/" TargetMode="External"/><Relationship Id="rId13" Type="http://schemas.openxmlformats.org/officeDocument/2006/relationships/hyperlink" Target="https://portalsivigila.ins.gov.co/Paginas/Buscador.aspx" TargetMode="External"/><Relationship Id="rId18" Type="http://schemas.openxmlformats.org/officeDocument/2006/relationships/hyperlink" Target="https://aqicn.org/data-platform/covid19/" TargetMode="External"/><Relationship Id="rId3" Type="http://schemas.openxmlformats.org/officeDocument/2006/relationships/hyperlink" Target="https://github.com/OxCGRT/covid-policy-dataset/tree/main" TargetMode="External"/><Relationship Id="rId21" Type="http://schemas.openxmlformats.org/officeDocument/2006/relationships/hyperlink" Target="https://trends.google.it/trends/explore?date=2020-01-01%202023-12-31&amp;geo=UY&amp;q=%2Fm%2F05t4q,%2Fm%2F0hpnr,%2Fm%2F01rfps,%2Fm%2F01b_06&amp;hl=en-GB" TargetMode="External"/><Relationship Id="rId7" Type="http://schemas.openxmlformats.org/officeDocument/2006/relationships/hyperlink" Target="https://gisaid.org/" TargetMode="External"/><Relationship Id="rId12" Type="http://schemas.openxmlformats.org/officeDocument/2006/relationships/hyperlink" Target="https://medata.gov.co/dataset/1-026-22-000171" TargetMode="External"/><Relationship Id="rId17" Type="http://schemas.openxmlformats.org/officeDocument/2006/relationships/hyperlink" Target="https://cds.climate.copernicus.eu/datasets" TargetMode="External"/><Relationship Id="rId2" Type="http://schemas.openxmlformats.org/officeDocument/2006/relationships/hyperlink" Target="https://github.com/covid19db/data" TargetMode="External"/><Relationship Id="rId16" Type="http://schemas.openxmlformats.org/officeDocument/2006/relationships/hyperlink" Target="https://ads.atmosphere.copernicus.eu/datasets" TargetMode="External"/><Relationship Id="rId20" Type="http://schemas.openxmlformats.org/officeDocument/2006/relationships/hyperlink" Target="https://meteostat.net/en/place/co/medellin?s=80110&amp;t=2021-10-31/2024-11-16" TargetMode="External"/><Relationship Id="rId1" Type="http://schemas.openxmlformats.org/officeDocument/2006/relationships/hyperlink" Target="https://github.com/CSSEGISandData/COVID-19" TargetMode="External"/><Relationship Id="rId6" Type="http://schemas.openxmlformats.org/officeDocument/2006/relationships/hyperlink" Target="https://www.ins.gov.co/buscador-eventos/Paginas/Vista-Boletin-Epidemilogico.aspx" TargetMode="External"/><Relationship Id="rId11" Type="http://schemas.openxmlformats.org/officeDocument/2006/relationships/hyperlink" Target="https://github.com/Emory-Melody/awesome-epidemic-modeling-papers" TargetMode="External"/><Relationship Id="rId5" Type="http://schemas.openxmlformats.org/officeDocument/2006/relationships/hyperlink" Target="https://www.cdc.gov/bird-flu/situation-summary/index.html" TargetMode="External"/><Relationship Id="rId15" Type="http://schemas.openxmlformats.org/officeDocument/2006/relationships/hyperlink" Target="https://zenodo.org/records/13683259" TargetMode="External"/><Relationship Id="rId10" Type="http://schemas.openxmlformats.org/officeDocument/2006/relationships/hyperlink" Target="https://datacatalog.worldbank.org/search/dataset/0037712/World-Development-Indicators" TargetMode="External"/><Relationship Id="rId19" Type="http://schemas.openxmlformats.org/officeDocument/2006/relationships/hyperlink" Target="https://earthkit.readthedocs.io/en/latest/examples/polytope_timeseries.html" TargetMode="External"/><Relationship Id="rId4" Type="http://schemas.openxmlformats.org/officeDocument/2006/relationships/hyperlink" Target="https://www.who.int/emergencies/disease-outbreak-news" TargetMode="External"/><Relationship Id="rId9" Type="http://schemas.openxmlformats.org/officeDocument/2006/relationships/hyperlink" Target="https://www.cdc.gov/forecast-outbreak-analytics/index.html" TargetMode="External"/><Relationship Id="rId14" Type="http://schemas.openxmlformats.org/officeDocument/2006/relationships/hyperlink" Target="https://www.sciencedirect.com/science/article/pii/S2666720722000145" TargetMode="External"/><Relationship Id="rId22" Type="http://schemas.openxmlformats.org/officeDocument/2006/relationships/hyperlink" Target="https://origin.cpc.ncep.noaa.gov/products/analysis_monitoring/ensostuff/ONI_v5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77A2-E602-4D9A-90DA-98AD5E623913}">
  <dimension ref="B1:Q26"/>
  <sheetViews>
    <sheetView workbookViewId="0">
      <selection activeCell="G4" sqref="G4:G26"/>
    </sheetView>
  </sheetViews>
  <sheetFormatPr defaultRowHeight="14.4" x14ac:dyDescent="0.3"/>
  <cols>
    <col min="1" max="1" width="2" style="1" customWidth="1"/>
    <col min="2" max="12" width="8.88671875" style="1"/>
    <col min="13" max="13" width="21.88671875" style="1" bestFit="1" customWidth="1"/>
    <col min="14" max="16" width="8.88671875" style="1"/>
    <col min="17" max="17" width="25" style="1" bestFit="1" customWidth="1"/>
    <col min="18" max="16384" width="8.88671875" style="1"/>
  </cols>
  <sheetData>
    <row r="1" spans="2:7" ht="18" x14ac:dyDescent="0.35">
      <c r="B1" s="3" t="s">
        <v>0</v>
      </c>
    </row>
    <row r="3" spans="2:7" x14ac:dyDescent="0.3">
      <c r="B3" s="2" t="s">
        <v>1</v>
      </c>
      <c r="C3" s="2" t="s">
        <v>2</v>
      </c>
      <c r="D3" s="2" t="s">
        <v>6</v>
      </c>
      <c r="E3" s="2" t="s">
        <v>3</v>
      </c>
      <c r="F3" s="2" t="s">
        <v>68</v>
      </c>
      <c r="G3" s="2" t="s">
        <v>355</v>
      </c>
    </row>
    <row r="4" spans="2:7" x14ac:dyDescent="0.3">
      <c r="B4" s="1">
        <v>1</v>
      </c>
      <c r="C4" s="1" t="s">
        <v>5</v>
      </c>
      <c r="D4" s="1" t="s">
        <v>7</v>
      </c>
      <c r="E4" s="4" t="s">
        <v>4</v>
      </c>
      <c r="G4" s="39" t="s">
        <v>356</v>
      </c>
    </row>
    <row r="5" spans="2:7" x14ac:dyDescent="0.3">
      <c r="B5" s="6">
        <v>2</v>
      </c>
      <c r="C5" s="6" t="s">
        <v>9</v>
      </c>
      <c r="D5" s="6" t="s">
        <v>10</v>
      </c>
      <c r="E5" s="7" t="s">
        <v>8</v>
      </c>
      <c r="G5" s="39" t="s">
        <v>356</v>
      </c>
    </row>
    <row r="6" spans="2:7" x14ac:dyDescent="0.3">
      <c r="B6" s="1">
        <v>3</v>
      </c>
      <c r="C6" s="1" t="s">
        <v>12</v>
      </c>
      <c r="D6" s="1" t="s">
        <v>13</v>
      </c>
      <c r="E6" s="4" t="s">
        <v>11</v>
      </c>
      <c r="G6" s="39" t="s">
        <v>356</v>
      </c>
    </row>
    <row r="7" spans="2:7" x14ac:dyDescent="0.3">
      <c r="B7" s="6">
        <v>4</v>
      </c>
      <c r="C7" s="6" t="s">
        <v>15</v>
      </c>
      <c r="D7" s="6" t="s">
        <v>16</v>
      </c>
      <c r="E7" s="7" t="s">
        <v>14</v>
      </c>
      <c r="G7" s="39" t="s">
        <v>356</v>
      </c>
    </row>
    <row r="8" spans="2:7" x14ac:dyDescent="0.3">
      <c r="B8" s="1">
        <v>5</v>
      </c>
      <c r="C8" s="1" t="s">
        <v>18</v>
      </c>
      <c r="D8" s="1" t="s">
        <v>19</v>
      </c>
      <c r="E8" s="4" t="s">
        <v>17</v>
      </c>
      <c r="G8" s="39" t="s">
        <v>356</v>
      </c>
    </row>
    <row r="9" spans="2:7" x14ac:dyDescent="0.3">
      <c r="B9" s="6">
        <v>6</v>
      </c>
      <c r="C9" s="6" t="s">
        <v>21</v>
      </c>
      <c r="D9" s="6" t="s">
        <v>22</v>
      </c>
      <c r="E9" s="7" t="s">
        <v>20</v>
      </c>
      <c r="G9" s="39" t="s">
        <v>356</v>
      </c>
    </row>
    <row r="10" spans="2:7" x14ac:dyDescent="0.3">
      <c r="B10" s="1">
        <v>7</v>
      </c>
      <c r="C10" s="1" t="s">
        <v>24</v>
      </c>
      <c r="D10" s="1" t="s">
        <v>25</v>
      </c>
      <c r="E10" s="4" t="s">
        <v>23</v>
      </c>
      <c r="G10" s="39" t="s">
        <v>356</v>
      </c>
    </row>
    <row r="11" spans="2:7" x14ac:dyDescent="0.3">
      <c r="B11" s="6">
        <v>8</v>
      </c>
      <c r="C11" s="6" t="s">
        <v>27</v>
      </c>
      <c r="D11" s="6" t="s">
        <v>28</v>
      </c>
      <c r="E11" s="7" t="s">
        <v>26</v>
      </c>
      <c r="G11" s="39" t="s">
        <v>356</v>
      </c>
    </row>
    <row r="12" spans="2:7" x14ac:dyDescent="0.3">
      <c r="B12" s="1">
        <v>9</v>
      </c>
      <c r="C12" s="1" t="s">
        <v>30</v>
      </c>
      <c r="D12" s="1" t="s">
        <v>31</v>
      </c>
      <c r="E12" s="4" t="s">
        <v>29</v>
      </c>
      <c r="F12" s="1" t="s">
        <v>32</v>
      </c>
      <c r="G12" s="39" t="s">
        <v>356</v>
      </c>
    </row>
    <row r="13" spans="2:7" x14ac:dyDescent="0.3">
      <c r="B13" s="6">
        <v>10</v>
      </c>
      <c r="C13" s="6" t="s">
        <v>41</v>
      </c>
      <c r="D13" s="6" t="s">
        <v>42</v>
      </c>
      <c r="E13" s="7" t="s">
        <v>40</v>
      </c>
      <c r="G13" s="39" t="s">
        <v>356</v>
      </c>
    </row>
    <row r="14" spans="2:7" x14ac:dyDescent="0.3">
      <c r="B14" s="1">
        <v>11</v>
      </c>
      <c r="C14" s="1" t="s">
        <v>44</v>
      </c>
      <c r="D14" s="1" t="s">
        <v>45</v>
      </c>
      <c r="E14" s="4" t="s">
        <v>43</v>
      </c>
      <c r="F14" s="4" t="s">
        <v>79</v>
      </c>
      <c r="G14" s="39" t="s">
        <v>356</v>
      </c>
    </row>
    <row r="15" spans="2:7" x14ac:dyDescent="0.3">
      <c r="B15" s="6">
        <v>12</v>
      </c>
      <c r="C15" s="6" t="s">
        <v>47</v>
      </c>
      <c r="D15" s="6" t="s">
        <v>48</v>
      </c>
      <c r="E15" s="7" t="s">
        <v>46</v>
      </c>
      <c r="G15" s="39" t="s">
        <v>356</v>
      </c>
    </row>
    <row r="16" spans="2:7" x14ac:dyDescent="0.3">
      <c r="B16" s="1">
        <v>13</v>
      </c>
      <c r="C16" s="1" t="s">
        <v>50</v>
      </c>
      <c r="D16" s="1" t="s">
        <v>51</v>
      </c>
      <c r="E16" s="4" t="s">
        <v>49</v>
      </c>
      <c r="G16" s="39" t="s">
        <v>356</v>
      </c>
    </row>
    <row r="17" spans="2:17" x14ac:dyDescent="0.3">
      <c r="B17" s="6">
        <v>14</v>
      </c>
      <c r="C17" s="6" t="s">
        <v>77</v>
      </c>
      <c r="D17" s="6" t="s">
        <v>78</v>
      </c>
      <c r="E17" s="7" t="s">
        <v>76</v>
      </c>
      <c r="G17" s="39" t="s">
        <v>356</v>
      </c>
    </row>
    <row r="18" spans="2:17" x14ac:dyDescent="0.3">
      <c r="B18" s="1">
        <v>15</v>
      </c>
      <c r="C18" s="1" t="s">
        <v>80</v>
      </c>
      <c r="D18" s="1" t="s">
        <v>82</v>
      </c>
      <c r="E18" s="4" t="s">
        <v>81</v>
      </c>
      <c r="G18" s="39" t="s">
        <v>356</v>
      </c>
      <c r="Q18" s="30"/>
    </row>
    <row r="19" spans="2:17" x14ac:dyDescent="0.3">
      <c r="B19" s="6">
        <v>16</v>
      </c>
      <c r="C19" s="6" t="s">
        <v>84</v>
      </c>
      <c r="D19" s="6" t="s">
        <v>85</v>
      </c>
      <c r="E19" s="7" t="s">
        <v>83</v>
      </c>
      <c r="G19" s="39" t="s">
        <v>356</v>
      </c>
    </row>
    <row r="20" spans="2:17" x14ac:dyDescent="0.3">
      <c r="B20" s="1">
        <v>17</v>
      </c>
      <c r="C20" s="1" t="s">
        <v>109</v>
      </c>
      <c r="E20" s="4" t="s">
        <v>108</v>
      </c>
      <c r="G20" s="39" t="s">
        <v>356</v>
      </c>
    </row>
    <row r="21" spans="2:17" x14ac:dyDescent="0.3">
      <c r="B21" s="6">
        <v>18</v>
      </c>
      <c r="C21" s="6" t="s">
        <v>123</v>
      </c>
      <c r="D21" s="6" t="s">
        <v>122</v>
      </c>
      <c r="E21" s="7" t="s">
        <v>121</v>
      </c>
      <c r="G21" s="39" t="s">
        <v>356</v>
      </c>
    </row>
    <row r="22" spans="2:17" x14ac:dyDescent="0.3">
      <c r="B22" s="1">
        <v>19</v>
      </c>
      <c r="C22" s="1" t="s">
        <v>156</v>
      </c>
      <c r="D22" s="1" t="s">
        <v>155</v>
      </c>
      <c r="E22" s="4" t="s">
        <v>154</v>
      </c>
      <c r="G22" s="39" t="s">
        <v>356</v>
      </c>
    </row>
    <row r="23" spans="2:17" x14ac:dyDescent="0.3">
      <c r="B23" s="6">
        <v>20</v>
      </c>
      <c r="C23" s="6" t="s">
        <v>158</v>
      </c>
      <c r="D23" s="6" t="s">
        <v>159</v>
      </c>
      <c r="E23" s="7" t="s">
        <v>157</v>
      </c>
      <c r="G23" s="39" t="s">
        <v>356</v>
      </c>
    </row>
    <row r="24" spans="2:17" x14ac:dyDescent="0.3">
      <c r="B24" s="1">
        <v>21</v>
      </c>
      <c r="C24" s="1" t="s">
        <v>210</v>
      </c>
      <c r="D24" s="1" t="s">
        <v>209</v>
      </c>
      <c r="E24" s="4" t="s">
        <v>208</v>
      </c>
      <c r="G24" s="39" t="s">
        <v>356</v>
      </c>
    </row>
    <row r="25" spans="2:17" x14ac:dyDescent="0.3">
      <c r="B25" s="6">
        <v>22</v>
      </c>
      <c r="C25" s="6" t="s">
        <v>224</v>
      </c>
      <c r="D25" s="6" t="s">
        <v>225</v>
      </c>
      <c r="E25" s="7" t="s">
        <v>223</v>
      </c>
      <c r="F25" s="1" t="s">
        <v>226</v>
      </c>
      <c r="G25" s="39" t="s">
        <v>356</v>
      </c>
    </row>
    <row r="26" spans="2:17" x14ac:dyDescent="0.3">
      <c r="B26" s="29">
        <v>23</v>
      </c>
      <c r="C26" s="1" t="s">
        <v>279</v>
      </c>
      <c r="D26" s="1" t="s">
        <v>280</v>
      </c>
      <c r="E26" s="4" t="s">
        <v>278</v>
      </c>
      <c r="F26" s="1" t="s">
        <v>281</v>
      </c>
      <c r="G26" s="39" t="s">
        <v>356</v>
      </c>
    </row>
  </sheetData>
  <hyperlinks>
    <hyperlink ref="E4" r:id="rId1" xr:uid="{7BB88F9F-FCBA-4FEC-8BB9-92CFBC8AD7C0}"/>
    <hyperlink ref="E5" r:id="rId2" xr:uid="{07D808AE-360C-4E8F-9B93-E593CE8C6B0F}"/>
    <hyperlink ref="E6" r:id="rId3" xr:uid="{4720B4B4-3232-44D4-98CD-B22265B1CB7B}"/>
    <hyperlink ref="E7" r:id="rId4" xr:uid="{61DA1B4B-4A51-4BF2-82ED-9D00B1A9BF98}"/>
    <hyperlink ref="E8" r:id="rId5" xr:uid="{1C7383FD-A3BE-454A-8E62-623EB8F1AB16}"/>
    <hyperlink ref="E9" r:id="rId6" xr:uid="{287BA2BA-CB40-4ED0-9793-8477996C04E3}"/>
    <hyperlink ref="E10" r:id="rId7" xr:uid="{B10B26C7-B891-4EB4-9BD8-1CFB1066C684}"/>
    <hyperlink ref="E11" r:id="rId8" xr:uid="{508087BC-F4D0-435A-9AA2-E62249CE4792}"/>
    <hyperlink ref="E12" r:id="rId9" xr:uid="{C340FF66-6BA3-47B6-83B5-857A2DEE2900}"/>
    <hyperlink ref="E13" r:id="rId10" xr:uid="{52C41B81-FE94-4AA6-ABC1-9C331785E95D}"/>
    <hyperlink ref="E14" r:id="rId11" xr:uid="{EF01F8AE-D34B-4BB8-8FE4-44B06A977B23}"/>
    <hyperlink ref="E15" r:id="rId12" xr:uid="{35FC94A4-52D8-488B-A301-CBAEE2798622}"/>
    <hyperlink ref="E16" r:id="rId13" xr:uid="{DFD6A570-7736-4FD6-85BA-79E740F48BEE}"/>
    <hyperlink ref="E17" r:id="rId14" xr:uid="{2EF7F835-3B5D-4681-A018-340019AAD385}"/>
    <hyperlink ref="F14" r:id="rId15" location=":~:text=The%20diffusion%20models%20we%20use,%2C%20and%20Chapman%2DRichards%20models." xr:uid="{7D08B040-2F5C-47CF-9FA0-75C5CA1D0A69}"/>
    <hyperlink ref="E18" r:id="rId16" xr:uid="{AB0ECB57-EE9E-4AC6-8D22-1CD28E351F18}"/>
    <hyperlink ref="E19" r:id="rId17" xr:uid="{329731CB-DF4B-4585-9EF3-AFC1FF4697B1}"/>
    <hyperlink ref="E20" r:id="rId18" xr:uid="{8BF97103-8B1D-479D-A092-E129DB45FC39}"/>
    <hyperlink ref="E21" r:id="rId19" xr:uid="{94F4A7D7-3F55-4643-9FD0-A11EF159A4C1}"/>
    <hyperlink ref="E22" r:id="rId20" xr:uid="{3D99AF48-A732-4ADA-B469-518D1E1C4F59}"/>
    <hyperlink ref="E23" r:id="rId21" xr:uid="{EAAB6CA0-E60C-4CCA-9A60-6D6314C9AA39}"/>
    <hyperlink ref="E24" r:id="rId22" xr:uid="{4730B165-77B9-44CC-96F1-5D46B06A3B46}"/>
    <hyperlink ref="E25" r:id="rId23" xr:uid="{27F3ABE4-E9A8-4610-B13D-775FBB8CFAA5}"/>
    <hyperlink ref="E26" r:id="rId24" xr:uid="{9C94BE50-1EBB-4A1E-992C-64AF15F3BE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97B9-116F-4382-A8CC-FDBD6D42603B}">
  <dimension ref="B1:B9"/>
  <sheetViews>
    <sheetView workbookViewId="0">
      <selection activeCell="B1" sqref="B1"/>
    </sheetView>
  </sheetViews>
  <sheetFormatPr defaultRowHeight="14.4" x14ac:dyDescent="0.3"/>
  <cols>
    <col min="1" max="1" width="2" style="1" customWidth="1"/>
    <col min="2" max="16384" width="8.88671875" style="1"/>
  </cols>
  <sheetData>
    <row r="1" spans="2:2" x14ac:dyDescent="0.3">
      <c r="B1" s="5" t="s">
        <v>33</v>
      </c>
    </row>
    <row r="4" spans="2:2" x14ac:dyDescent="0.3">
      <c r="B4" s="1" t="s">
        <v>34</v>
      </c>
    </row>
    <row r="5" spans="2:2" x14ac:dyDescent="0.3">
      <c r="B5" s="1" t="s">
        <v>35</v>
      </c>
    </row>
    <row r="6" spans="2:2" x14ac:dyDescent="0.3">
      <c r="B6" s="1" t="s">
        <v>36</v>
      </c>
    </row>
    <row r="7" spans="2:2" x14ac:dyDescent="0.3">
      <c r="B7" s="1" t="s">
        <v>37</v>
      </c>
    </row>
    <row r="8" spans="2:2" x14ac:dyDescent="0.3">
      <c r="B8" s="1" t="s">
        <v>38</v>
      </c>
    </row>
    <row r="9" spans="2:2" x14ac:dyDescent="0.3">
      <c r="B9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684F-E244-4C93-9525-C14A70CE3189}">
  <dimension ref="B1:C6"/>
  <sheetViews>
    <sheetView workbookViewId="0">
      <selection activeCell="C5" sqref="C5"/>
    </sheetView>
  </sheetViews>
  <sheetFormatPr defaultRowHeight="14.4" x14ac:dyDescent="0.3"/>
  <cols>
    <col min="1" max="1" width="2" style="6" customWidth="1"/>
    <col min="2" max="16384" width="8.88671875" style="6"/>
  </cols>
  <sheetData>
    <row r="1" spans="2:3" ht="15.6" x14ac:dyDescent="0.3">
      <c r="B1" s="8" t="s">
        <v>52</v>
      </c>
    </row>
    <row r="3" spans="2:3" x14ac:dyDescent="0.3">
      <c r="B3" s="6" t="s">
        <v>53</v>
      </c>
      <c r="C3" s="6" t="s">
        <v>59</v>
      </c>
    </row>
    <row r="4" spans="2:3" x14ac:dyDescent="0.3">
      <c r="C4" s="6" t="s">
        <v>54</v>
      </c>
    </row>
    <row r="5" spans="2:3" x14ac:dyDescent="0.3">
      <c r="B5" s="6" t="s">
        <v>55</v>
      </c>
      <c r="C5" s="6" t="s">
        <v>56</v>
      </c>
    </row>
    <row r="6" spans="2:3" x14ac:dyDescent="0.3">
      <c r="B6" s="6" t="s">
        <v>57</v>
      </c>
      <c r="C6" s="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0712-2AF2-46BC-B2A9-A9F8B8AAD612}">
  <dimension ref="B1:E26"/>
  <sheetViews>
    <sheetView tabSelected="1" workbookViewId="0">
      <selection activeCell="B24" sqref="B24"/>
    </sheetView>
  </sheetViews>
  <sheetFormatPr defaultRowHeight="14.4" x14ac:dyDescent="0.3"/>
  <cols>
    <col min="1" max="1" width="2" style="1" customWidth="1"/>
    <col min="2" max="16384" width="8.88671875" style="1"/>
  </cols>
  <sheetData>
    <row r="1" spans="2:5" ht="18" x14ac:dyDescent="0.35">
      <c r="B1" s="10" t="s">
        <v>61</v>
      </c>
    </row>
    <row r="4" spans="2:5" x14ac:dyDescent="0.3">
      <c r="B4" s="9" t="s">
        <v>62</v>
      </c>
      <c r="C4" s="9" t="s">
        <v>68</v>
      </c>
      <c r="D4" s="9" t="s">
        <v>69</v>
      </c>
      <c r="E4" s="9" t="s">
        <v>91</v>
      </c>
    </row>
    <row r="5" spans="2:5" x14ac:dyDescent="0.3">
      <c r="B5" s="4" t="s">
        <v>60</v>
      </c>
      <c r="C5" s="1" t="s">
        <v>65</v>
      </c>
      <c r="D5" s="1" t="s">
        <v>70</v>
      </c>
    </row>
    <row r="6" spans="2:5" x14ac:dyDescent="0.3">
      <c r="B6" s="4" t="s">
        <v>63</v>
      </c>
      <c r="C6" s="1" t="s">
        <v>64</v>
      </c>
    </row>
    <row r="7" spans="2:5" x14ac:dyDescent="0.3">
      <c r="B7" s="4" t="s">
        <v>66</v>
      </c>
      <c r="C7" s="1" t="s">
        <v>67</v>
      </c>
    </row>
    <row r="8" spans="2:5" x14ac:dyDescent="0.3">
      <c r="B8" s="4" t="s">
        <v>71</v>
      </c>
      <c r="C8" s="1" t="s">
        <v>72</v>
      </c>
    </row>
    <row r="9" spans="2:5" x14ac:dyDescent="0.3">
      <c r="B9" s="4" t="s">
        <v>73</v>
      </c>
      <c r="C9" s="1" t="s">
        <v>74</v>
      </c>
    </row>
    <row r="10" spans="2:5" x14ac:dyDescent="0.3">
      <c r="B10" s="4" t="s">
        <v>75</v>
      </c>
    </row>
    <row r="11" spans="2:5" x14ac:dyDescent="0.3">
      <c r="B11" s="4" t="s">
        <v>86</v>
      </c>
      <c r="C11" s="1" t="s">
        <v>87</v>
      </c>
    </row>
    <row r="12" spans="2:5" x14ac:dyDescent="0.3">
      <c r="B12" s="4" t="s">
        <v>88</v>
      </c>
      <c r="C12" s="1" t="s">
        <v>89</v>
      </c>
      <c r="D12" s="1" t="s">
        <v>90</v>
      </c>
      <c r="E12" s="1" t="s">
        <v>92</v>
      </c>
    </row>
    <row r="13" spans="2:5" x14ac:dyDescent="0.3">
      <c r="B13" s="4" t="s">
        <v>111</v>
      </c>
      <c r="C13" s="1" t="s">
        <v>112</v>
      </c>
    </row>
    <row r="14" spans="2:5" x14ac:dyDescent="0.3">
      <c r="B14" s="4" t="s">
        <v>118</v>
      </c>
      <c r="C14" s="1" t="s">
        <v>119</v>
      </c>
    </row>
    <row r="15" spans="2:5" x14ac:dyDescent="0.3">
      <c r="B15" s="4" t="s">
        <v>125</v>
      </c>
      <c r="C15" s="1" t="s">
        <v>124</v>
      </c>
    </row>
    <row r="16" spans="2:5" x14ac:dyDescent="0.3">
      <c r="B16" s="4" t="s">
        <v>126</v>
      </c>
      <c r="C16" s="1" t="s">
        <v>128</v>
      </c>
    </row>
    <row r="17" spans="2:3" x14ac:dyDescent="0.3">
      <c r="B17" s="38" t="s">
        <v>127</v>
      </c>
      <c r="C17" s="1" t="s">
        <v>354</v>
      </c>
    </row>
    <row r="18" spans="2:3" x14ac:dyDescent="0.3">
      <c r="B18" s="4" t="s">
        <v>151</v>
      </c>
      <c r="C18" s="1" t="s">
        <v>152</v>
      </c>
    </row>
    <row r="19" spans="2:3" x14ac:dyDescent="0.3">
      <c r="B19" s="4" t="s">
        <v>266</v>
      </c>
      <c r="C19" s="1" t="s">
        <v>267</v>
      </c>
    </row>
    <row r="20" spans="2:3" x14ac:dyDescent="0.3">
      <c r="B20" s="4" t="s">
        <v>269</v>
      </c>
      <c r="C20" s="1" t="s">
        <v>270</v>
      </c>
    </row>
    <row r="21" spans="2:3" x14ac:dyDescent="0.3">
      <c r="B21" s="4" t="s">
        <v>271</v>
      </c>
      <c r="C21" s="1" t="s">
        <v>272</v>
      </c>
    </row>
    <row r="22" spans="2:3" x14ac:dyDescent="0.3">
      <c r="B22" s="4" t="s">
        <v>273</v>
      </c>
      <c r="C22" s="1" t="s">
        <v>274</v>
      </c>
    </row>
    <row r="23" spans="2:3" x14ac:dyDescent="0.3">
      <c r="B23" s="4" t="s">
        <v>275</v>
      </c>
    </row>
    <row r="24" spans="2:3" x14ac:dyDescent="0.3">
      <c r="B24" s="4" t="s">
        <v>312</v>
      </c>
      <c r="C24" s="1" t="s">
        <v>313</v>
      </c>
    </row>
    <row r="25" spans="2:3" x14ac:dyDescent="0.3">
      <c r="B25" s="4" t="s">
        <v>314</v>
      </c>
      <c r="C25" s="1" t="s">
        <v>315</v>
      </c>
    </row>
    <row r="26" spans="2:3" x14ac:dyDescent="0.3">
      <c r="B26" s="4" t="s">
        <v>350</v>
      </c>
      <c r="C26" s="1" t="s">
        <v>351</v>
      </c>
    </row>
  </sheetData>
  <hyperlinks>
    <hyperlink ref="B5" r:id="rId1" xr:uid="{AD7154B5-40BA-4E30-84DD-F77C98C7B231}"/>
    <hyperlink ref="B6" r:id="rId2" xr:uid="{05CF1258-E0D3-4712-9788-D5261CFDD3AD}"/>
    <hyperlink ref="B7" r:id="rId3" xr:uid="{088EFA23-6926-4BC2-8958-DF28F0168AD9}"/>
    <hyperlink ref="B8" r:id="rId4" xr:uid="{B4F88122-EF7C-4B99-AC7B-3A6A9D20E669}"/>
    <hyperlink ref="B9" r:id="rId5" xr:uid="{373934D0-2C76-49AB-989A-E6B07AD1D929}"/>
    <hyperlink ref="B10" r:id="rId6" xr:uid="{83DD5816-B134-49A0-A30A-E37DD8563058}"/>
    <hyperlink ref="B11" r:id="rId7" xr:uid="{701F241B-37D8-4C64-8792-DFCA3966B40C}"/>
    <hyperlink ref="B12" r:id="rId8" xr:uid="{005900B6-4A3B-4AB0-A39D-F4668F245F0F}"/>
    <hyperlink ref="B13" r:id="rId9" xr:uid="{04857524-E07E-4C61-98B9-E1C36304DD1A}"/>
    <hyperlink ref="B14" r:id="rId10" xr:uid="{38A0ADAE-E2A9-4EF8-8632-6E1B81DBB3BC}"/>
    <hyperlink ref="B15" r:id="rId11" xr:uid="{9B2C70CF-05E7-483F-BF54-1F1A81344652}"/>
    <hyperlink ref="B16" r:id="rId12" xr:uid="{5A3BE6A4-C6D2-4CA8-A7D4-CA94B0A6C855}"/>
    <hyperlink ref="B17" r:id="rId13" xr:uid="{6D14AA1C-B244-4542-BBB2-25A3D93EFDC9}"/>
    <hyperlink ref="B18" r:id="rId14" xr:uid="{A779DE4D-3ECD-43A7-A7DD-93AE7FC506C1}"/>
    <hyperlink ref="B19" r:id="rId15" xr:uid="{D035113C-3508-49CA-B431-AB86C3A13C0D}"/>
    <hyperlink ref="B20" r:id="rId16" xr:uid="{A0C9D8D9-EC11-42D7-BE1D-BA683FB2AEE2}"/>
    <hyperlink ref="B21" r:id="rId17" xr:uid="{076631A6-3276-4BBE-A1D5-B4C566BE8922}"/>
    <hyperlink ref="B22" r:id="rId18" xr:uid="{9A099B35-5ED8-4261-8DF9-3E66B98A53E9}"/>
    <hyperlink ref="B23" r:id="rId19" xr:uid="{147E40C6-D2E1-46D8-854B-3827BE9D5F5D}"/>
    <hyperlink ref="B24" r:id="rId20" xr:uid="{072E2C55-83F5-4678-A782-C260562B8B6B}"/>
    <hyperlink ref="B25" r:id="rId21" xr:uid="{0B637547-4E97-4EC3-B314-56A41CE2A5A5}"/>
    <hyperlink ref="B26" r:id="rId22" xr:uid="{74940AD8-16FA-4D19-8C89-A6E8C43ECBF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F100-492E-4601-94D9-DFEFC6926913}">
  <dimension ref="B1:R56"/>
  <sheetViews>
    <sheetView topLeftCell="A30" workbookViewId="0">
      <selection activeCell="Q5" sqref="Q5:Q23"/>
    </sheetView>
  </sheetViews>
  <sheetFormatPr defaultRowHeight="14.4" x14ac:dyDescent="0.3"/>
  <cols>
    <col min="1" max="1" width="2" style="1" customWidth="1"/>
    <col min="2" max="2" width="13.21875" style="1" bestFit="1" customWidth="1"/>
    <col min="3" max="3" width="15.6640625" style="1" bestFit="1" customWidth="1"/>
    <col min="4" max="16" width="8.88671875" style="1"/>
    <col min="17" max="17" width="19.77734375" style="1" customWidth="1"/>
    <col min="18" max="16384" width="8.88671875" style="1"/>
  </cols>
  <sheetData>
    <row r="1" spans="2:18" ht="18" x14ac:dyDescent="0.35">
      <c r="B1" s="10" t="s">
        <v>129</v>
      </c>
    </row>
    <row r="4" spans="2:18" x14ac:dyDescent="0.3">
      <c r="B4" s="9" t="s">
        <v>130</v>
      </c>
      <c r="C4" s="9" t="s">
        <v>131</v>
      </c>
      <c r="D4" s="9" t="s">
        <v>132</v>
      </c>
      <c r="E4" s="9" t="s">
        <v>161</v>
      </c>
      <c r="M4" s="2" t="s">
        <v>227</v>
      </c>
      <c r="N4" s="2" t="s">
        <v>242</v>
      </c>
      <c r="Q4" s="2" t="s">
        <v>243</v>
      </c>
      <c r="R4" s="2" t="s">
        <v>245</v>
      </c>
    </row>
    <row r="5" spans="2:18" x14ac:dyDescent="0.3">
      <c r="B5" s="1" t="s">
        <v>147</v>
      </c>
      <c r="C5" s="1" t="s">
        <v>133</v>
      </c>
      <c r="D5" s="1" t="s">
        <v>134</v>
      </c>
      <c r="M5" s="1" t="s">
        <v>136</v>
      </c>
      <c r="Q5" s="1" t="s">
        <v>244</v>
      </c>
      <c r="R5" s="1" t="s">
        <v>246</v>
      </c>
    </row>
    <row r="6" spans="2:18" x14ac:dyDescent="0.3">
      <c r="B6" s="1" t="s">
        <v>147</v>
      </c>
      <c r="C6" s="1" t="s">
        <v>135</v>
      </c>
      <c r="D6" s="1" t="s">
        <v>134</v>
      </c>
      <c r="M6" s="1" t="s">
        <v>228</v>
      </c>
      <c r="Q6" s="1" t="s">
        <v>247</v>
      </c>
      <c r="R6" s="1" t="s">
        <v>246</v>
      </c>
    </row>
    <row r="7" spans="2:18" x14ac:dyDescent="0.3">
      <c r="B7" s="1" t="s">
        <v>147</v>
      </c>
      <c r="C7" s="1" t="s">
        <v>136</v>
      </c>
      <c r="D7" s="1" t="s">
        <v>134</v>
      </c>
      <c r="M7" s="1" t="s">
        <v>229</v>
      </c>
      <c r="Q7" s="1" t="s">
        <v>248</v>
      </c>
      <c r="R7" s="1" t="s">
        <v>249</v>
      </c>
    </row>
    <row r="8" spans="2:18" x14ac:dyDescent="0.3">
      <c r="B8" s="1" t="s">
        <v>147</v>
      </c>
      <c r="C8" s="1" t="s">
        <v>137</v>
      </c>
      <c r="D8" s="1" t="s">
        <v>146</v>
      </c>
      <c r="E8" s="1" t="s">
        <v>181</v>
      </c>
      <c r="G8" s="12"/>
      <c r="M8" s="1" t="s">
        <v>230</v>
      </c>
      <c r="N8" s="1" t="s">
        <v>233</v>
      </c>
      <c r="Q8" s="1" t="s">
        <v>250</v>
      </c>
      <c r="R8" s="1" t="s">
        <v>246</v>
      </c>
    </row>
    <row r="9" spans="2:18" x14ac:dyDescent="0.3">
      <c r="B9" s="1" t="s">
        <v>147</v>
      </c>
      <c r="C9" s="1" t="s">
        <v>138</v>
      </c>
      <c r="D9" s="1" t="s">
        <v>146</v>
      </c>
      <c r="E9" s="1" t="s">
        <v>181</v>
      </c>
      <c r="M9" s="1" t="s">
        <v>231</v>
      </c>
      <c r="N9" s="1" t="s">
        <v>232</v>
      </c>
      <c r="Q9" s="1" t="s">
        <v>251</v>
      </c>
      <c r="R9" s="1" t="s">
        <v>246</v>
      </c>
    </row>
    <row r="10" spans="2:18" x14ac:dyDescent="0.3">
      <c r="B10" s="1" t="s">
        <v>147</v>
      </c>
      <c r="C10" s="1" t="s">
        <v>33</v>
      </c>
      <c r="D10" s="1" t="s">
        <v>134</v>
      </c>
      <c r="M10" s="1" t="s">
        <v>234</v>
      </c>
      <c r="Q10" s="1" t="s">
        <v>252</v>
      </c>
      <c r="R10" s="1" t="s">
        <v>277</v>
      </c>
    </row>
    <row r="11" spans="2:18" x14ac:dyDescent="0.3">
      <c r="B11" s="1" t="s">
        <v>147</v>
      </c>
      <c r="C11" s="1" t="s">
        <v>139</v>
      </c>
      <c r="D11" s="1" t="s">
        <v>134</v>
      </c>
      <c r="M11" s="1" t="s">
        <v>235</v>
      </c>
      <c r="Q11" s="1" t="s">
        <v>253</v>
      </c>
      <c r="R11" s="1" t="s">
        <v>249</v>
      </c>
    </row>
    <row r="12" spans="2:18" x14ac:dyDescent="0.3">
      <c r="B12" s="1" t="s">
        <v>147</v>
      </c>
      <c r="C12" s="1" t="s">
        <v>239</v>
      </c>
      <c r="D12" s="1" t="s">
        <v>134</v>
      </c>
      <c r="M12" s="1" t="s">
        <v>236</v>
      </c>
      <c r="Q12" s="1" t="s">
        <v>254</v>
      </c>
      <c r="R12" s="1" t="s">
        <v>249</v>
      </c>
    </row>
    <row r="13" spans="2:18" x14ac:dyDescent="0.3">
      <c r="B13" s="1" t="s">
        <v>147</v>
      </c>
      <c r="C13" s="1" t="s">
        <v>268</v>
      </c>
      <c r="D13" s="1" t="s">
        <v>134</v>
      </c>
      <c r="M13" s="1" t="s">
        <v>237</v>
      </c>
      <c r="Q13" s="1" t="s">
        <v>255</v>
      </c>
      <c r="R13" s="1" t="s">
        <v>246</v>
      </c>
    </row>
    <row r="14" spans="2:18" x14ac:dyDescent="0.3">
      <c r="B14" s="1" t="s">
        <v>147</v>
      </c>
      <c r="C14" s="1" t="s">
        <v>140</v>
      </c>
      <c r="D14" s="1" t="s">
        <v>146</v>
      </c>
      <c r="M14" s="1" t="s">
        <v>238</v>
      </c>
      <c r="Q14" s="1" t="s">
        <v>256</v>
      </c>
      <c r="R14" s="1" t="s">
        <v>246</v>
      </c>
    </row>
    <row r="15" spans="2:18" x14ac:dyDescent="0.3">
      <c r="B15" s="1" t="s">
        <v>147</v>
      </c>
      <c r="C15" s="1" t="s">
        <v>141</v>
      </c>
      <c r="D15" s="1" t="s">
        <v>146</v>
      </c>
      <c r="M15" s="1" t="s">
        <v>239</v>
      </c>
      <c r="Q15" s="1" t="s">
        <v>257</v>
      </c>
      <c r="R15" s="1" t="s">
        <v>246</v>
      </c>
    </row>
    <row r="16" spans="2:18" x14ac:dyDescent="0.3">
      <c r="B16" s="1" t="s">
        <v>147</v>
      </c>
      <c r="C16" s="1" t="s">
        <v>142</v>
      </c>
      <c r="D16" s="1" t="s">
        <v>134</v>
      </c>
      <c r="M16" s="1" t="s">
        <v>240</v>
      </c>
      <c r="Q16" s="1" t="s">
        <v>258</v>
      </c>
      <c r="R16" s="1" t="s">
        <v>246</v>
      </c>
    </row>
    <row r="17" spans="2:18" x14ac:dyDescent="0.3">
      <c r="B17" s="1" t="s">
        <v>147</v>
      </c>
      <c r="C17" s="1" t="s">
        <v>143</v>
      </c>
      <c r="D17" s="1" t="s">
        <v>146</v>
      </c>
      <c r="M17" s="1" t="s">
        <v>241</v>
      </c>
      <c r="Q17" s="1" t="s">
        <v>259</v>
      </c>
      <c r="R17" s="1" t="s">
        <v>246</v>
      </c>
    </row>
    <row r="18" spans="2:18" x14ac:dyDescent="0.3">
      <c r="B18" s="1" t="s">
        <v>148</v>
      </c>
      <c r="C18" s="1" t="s">
        <v>133</v>
      </c>
      <c r="D18" s="1" t="s">
        <v>146</v>
      </c>
      <c r="Q18" s="1" t="s">
        <v>260</v>
      </c>
      <c r="R18" s="1" t="s">
        <v>246</v>
      </c>
    </row>
    <row r="19" spans="2:18" x14ac:dyDescent="0.3">
      <c r="B19" s="1" t="s">
        <v>148</v>
      </c>
      <c r="C19" s="1" t="s">
        <v>135</v>
      </c>
      <c r="D19" s="1" t="s">
        <v>146</v>
      </c>
      <c r="Q19" s="1" t="s">
        <v>261</v>
      </c>
      <c r="R19" s="1" t="s">
        <v>249</v>
      </c>
    </row>
    <row r="20" spans="2:18" x14ac:dyDescent="0.3">
      <c r="B20" s="1" t="s">
        <v>148</v>
      </c>
      <c r="C20" s="1" t="s">
        <v>136</v>
      </c>
      <c r="D20" s="1" t="s">
        <v>146</v>
      </c>
      <c r="Q20" s="30" t="s">
        <v>262</v>
      </c>
      <c r="R20" s="1" t="s">
        <v>246</v>
      </c>
    </row>
    <row r="21" spans="2:18" x14ac:dyDescent="0.3">
      <c r="B21" s="1" t="s">
        <v>148</v>
      </c>
      <c r="C21" s="1" t="s">
        <v>137</v>
      </c>
      <c r="D21" s="1" t="s">
        <v>146</v>
      </c>
      <c r="Q21" s="1" t="s">
        <v>263</v>
      </c>
      <c r="R21" s="1" t="s">
        <v>246</v>
      </c>
    </row>
    <row r="22" spans="2:18" x14ac:dyDescent="0.3">
      <c r="B22" s="1" t="s">
        <v>148</v>
      </c>
      <c r="C22" s="1" t="s">
        <v>138</v>
      </c>
      <c r="D22" s="1" t="s">
        <v>146</v>
      </c>
      <c r="Q22" s="1" t="s">
        <v>264</v>
      </c>
      <c r="R22" s="1" t="s">
        <v>249</v>
      </c>
    </row>
    <row r="23" spans="2:18" x14ac:dyDescent="0.3">
      <c r="B23" s="1" t="s">
        <v>148</v>
      </c>
      <c r="C23" s="1" t="s">
        <v>33</v>
      </c>
      <c r="D23" s="1" t="s">
        <v>146</v>
      </c>
      <c r="Q23" s="1" t="s">
        <v>265</v>
      </c>
      <c r="R23" s="1" t="s">
        <v>246</v>
      </c>
    </row>
    <row r="24" spans="2:18" x14ac:dyDescent="0.3">
      <c r="B24" s="1" t="s">
        <v>148</v>
      </c>
      <c r="C24" s="1" t="s">
        <v>139</v>
      </c>
      <c r="D24" s="1" t="s">
        <v>146</v>
      </c>
    </row>
    <row r="25" spans="2:18" x14ac:dyDescent="0.3">
      <c r="B25" s="1" t="s">
        <v>148</v>
      </c>
      <c r="C25" s="1" t="s">
        <v>239</v>
      </c>
      <c r="D25" s="1" t="s">
        <v>134</v>
      </c>
    </row>
    <row r="26" spans="2:18" x14ac:dyDescent="0.3">
      <c r="B26" s="1" t="s">
        <v>148</v>
      </c>
      <c r="C26" s="1" t="s">
        <v>268</v>
      </c>
      <c r="D26" s="1" t="s">
        <v>146</v>
      </c>
    </row>
    <row r="27" spans="2:18" x14ac:dyDescent="0.3">
      <c r="B27" s="1" t="s">
        <v>148</v>
      </c>
      <c r="C27" s="1" t="s">
        <v>140</v>
      </c>
      <c r="D27" s="1" t="s">
        <v>146</v>
      </c>
    </row>
    <row r="28" spans="2:18" x14ac:dyDescent="0.3">
      <c r="B28" s="1" t="s">
        <v>148</v>
      </c>
      <c r="C28" s="1" t="s">
        <v>141</v>
      </c>
      <c r="D28" s="1" t="s">
        <v>146</v>
      </c>
    </row>
    <row r="29" spans="2:18" x14ac:dyDescent="0.3">
      <c r="B29" s="1" t="s">
        <v>148</v>
      </c>
      <c r="C29" s="1" t="s">
        <v>142</v>
      </c>
      <c r="D29" s="1" t="s">
        <v>146</v>
      </c>
    </row>
    <row r="30" spans="2:18" x14ac:dyDescent="0.3">
      <c r="B30" s="1" t="s">
        <v>148</v>
      </c>
      <c r="C30" s="1" t="s">
        <v>143</v>
      </c>
      <c r="D30" s="1" t="s">
        <v>146</v>
      </c>
    </row>
    <row r="31" spans="2:18" x14ac:dyDescent="0.3">
      <c r="B31" s="1" t="s">
        <v>149</v>
      </c>
      <c r="C31" s="1" t="s">
        <v>133</v>
      </c>
      <c r="D31" s="1" t="s">
        <v>134</v>
      </c>
    </row>
    <row r="32" spans="2:18" x14ac:dyDescent="0.3">
      <c r="B32" s="1" t="s">
        <v>149</v>
      </c>
      <c r="C32" s="1" t="s">
        <v>135</v>
      </c>
      <c r="D32" s="1" t="s">
        <v>134</v>
      </c>
    </row>
    <row r="33" spans="2:4" x14ac:dyDescent="0.3">
      <c r="B33" s="1" t="s">
        <v>149</v>
      </c>
      <c r="C33" s="1" t="s">
        <v>136</v>
      </c>
      <c r="D33" s="1" t="s">
        <v>134</v>
      </c>
    </row>
    <row r="34" spans="2:4" x14ac:dyDescent="0.3">
      <c r="B34" s="1" t="s">
        <v>149</v>
      </c>
      <c r="C34" s="1" t="s">
        <v>137</v>
      </c>
      <c r="D34" s="1" t="s">
        <v>146</v>
      </c>
    </row>
    <row r="35" spans="2:4" x14ac:dyDescent="0.3">
      <c r="B35" s="1" t="s">
        <v>149</v>
      </c>
      <c r="C35" s="1" t="s">
        <v>138</v>
      </c>
      <c r="D35" s="1" t="s">
        <v>146</v>
      </c>
    </row>
    <row r="36" spans="2:4" x14ac:dyDescent="0.3">
      <c r="B36" s="1" t="s">
        <v>149</v>
      </c>
      <c r="C36" s="1" t="s">
        <v>33</v>
      </c>
      <c r="D36" s="1" t="s">
        <v>134</v>
      </c>
    </row>
    <row r="37" spans="2:4" x14ac:dyDescent="0.3">
      <c r="B37" s="1" t="s">
        <v>149</v>
      </c>
      <c r="C37" s="1" t="s">
        <v>139</v>
      </c>
      <c r="D37" s="1" t="s">
        <v>134</v>
      </c>
    </row>
    <row r="38" spans="2:4" x14ac:dyDescent="0.3">
      <c r="B38" s="1" t="s">
        <v>149</v>
      </c>
      <c r="C38" s="1" t="s">
        <v>239</v>
      </c>
      <c r="D38" s="1" t="s">
        <v>134</v>
      </c>
    </row>
    <row r="39" spans="2:4" x14ac:dyDescent="0.3">
      <c r="B39" s="1" t="s">
        <v>149</v>
      </c>
      <c r="C39" s="1" t="s">
        <v>268</v>
      </c>
      <c r="D39" s="1" t="s">
        <v>134</v>
      </c>
    </row>
    <row r="40" spans="2:4" x14ac:dyDescent="0.3">
      <c r="B40" s="1" t="s">
        <v>149</v>
      </c>
      <c r="C40" s="1" t="s">
        <v>140</v>
      </c>
      <c r="D40" s="1" t="s">
        <v>146</v>
      </c>
    </row>
    <row r="41" spans="2:4" x14ac:dyDescent="0.3">
      <c r="B41" s="1" t="s">
        <v>149</v>
      </c>
      <c r="C41" s="1" t="s">
        <v>141</v>
      </c>
      <c r="D41" s="1" t="s">
        <v>146</v>
      </c>
    </row>
    <row r="42" spans="2:4" x14ac:dyDescent="0.3">
      <c r="B42" s="1" t="s">
        <v>149</v>
      </c>
      <c r="C42" s="1" t="s">
        <v>142</v>
      </c>
      <c r="D42" s="1" t="s">
        <v>134</v>
      </c>
    </row>
    <row r="43" spans="2:4" x14ac:dyDescent="0.3">
      <c r="B43" s="1" t="s">
        <v>149</v>
      </c>
      <c r="C43" s="1" t="s">
        <v>143</v>
      </c>
      <c r="D43" s="1" t="s">
        <v>146</v>
      </c>
    </row>
    <row r="44" spans="2:4" x14ac:dyDescent="0.3">
      <c r="B44" s="1" t="s">
        <v>150</v>
      </c>
      <c r="C44" s="1" t="s">
        <v>133</v>
      </c>
      <c r="D44" s="1" t="s">
        <v>146</v>
      </c>
    </row>
    <row r="45" spans="2:4" x14ac:dyDescent="0.3">
      <c r="B45" s="1" t="s">
        <v>150</v>
      </c>
      <c r="C45" s="1" t="s">
        <v>135</v>
      </c>
      <c r="D45" s="1" t="s">
        <v>146</v>
      </c>
    </row>
    <row r="46" spans="2:4" x14ac:dyDescent="0.3">
      <c r="B46" s="1" t="s">
        <v>150</v>
      </c>
      <c r="C46" s="1" t="s">
        <v>136</v>
      </c>
      <c r="D46" s="1" t="s">
        <v>146</v>
      </c>
    </row>
    <row r="47" spans="2:4" x14ac:dyDescent="0.3">
      <c r="B47" s="1" t="s">
        <v>150</v>
      </c>
      <c r="C47" s="1" t="s">
        <v>137</v>
      </c>
      <c r="D47" s="1" t="s">
        <v>146</v>
      </c>
    </row>
    <row r="48" spans="2:4" x14ac:dyDescent="0.3">
      <c r="B48" s="1" t="s">
        <v>150</v>
      </c>
      <c r="C48" s="1" t="s">
        <v>138</v>
      </c>
      <c r="D48" s="1" t="s">
        <v>146</v>
      </c>
    </row>
    <row r="49" spans="2:4" x14ac:dyDescent="0.3">
      <c r="B49" s="1" t="s">
        <v>150</v>
      </c>
      <c r="C49" s="1" t="s">
        <v>33</v>
      </c>
      <c r="D49" s="1" t="s">
        <v>146</v>
      </c>
    </row>
    <row r="50" spans="2:4" x14ac:dyDescent="0.3">
      <c r="B50" s="1" t="s">
        <v>150</v>
      </c>
      <c r="C50" s="1" t="s">
        <v>139</v>
      </c>
      <c r="D50" s="1" t="s">
        <v>146</v>
      </c>
    </row>
    <row r="51" spans="2:4" x14ac:dyDescent="0.3">
      <c r="B51" s="1" t="s">
        <v>150</v>
      </c>
      <c r="C51" s="1" t="s">
        <v>239</v>
      </c>
      <c r="D51" s="1" t="s">
        <v>146</v>
      </c>
    </row>
    <row r="52" spans="2:4" x14ac:dyDescent="0.3">
      <c r="B52" s="1" t="s">
        <v>150</v>
      </c>
      <c r="C52" s="1" t="s">
        <v>268</v>
      </c>
      <c r="D52" s="1" t="s">
        <v>146</v>
      </c>
    </row>
    <row r="53" spans="2:4" x14ac:dyDescent="0.3">
      <c r="B53" s="1" t="s">
        <v>150</v>
      </c>
      <c r="C53" s="1" t="s">
        <v>140</v>
      </c>
      <c r="D53" s="1" t="s">
        <v>146</v>
      </c>
    </row>
    <row r="54" spans="2:4" x14ac:dyDescent="0.3">
      <c r="B54" s="1" t="s">
        <v>150</v>
      </c>
      <c r="C54" s="1" t="s">
        <v>141</v>
      </c>
      <c r="D54" s="1" t="s">
        <v>146</v>
      </c>
    </row>
    <row r="55" spans="2:4" x14ac:dyDescent="0.3">
      <c r="B55" s="1" t="s">
        <v>150</v>
      </c>
      <c r="C55" s="1" t="s">
        <v>142</v>
      </c>
      <c r="D55" s="1" t="s">
        <v>146</v>
      </c>
    </row>
    <row r="56" spans="2:4" x14ac:dyDescent="0.3">
      <c r="B56" s="1" t="s">
        <v>150</v>
      </c>
      <c r="C56" s="1" t="s">
        <v>143</v>
      </c>
      <c r="D56" s="1" t="s">
        <v>146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8FB5F8-9A3F-49FB-85B4-7B9DCE5ECBCA}">
          <x14:formula1>
            <xm:f>help!$B$4:$B$5</xm:f>
          </x14:formula1>
          <xm:sqref>D5:D56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A5AC-0586-4893-B88A-0F9AA6E9FD44}">
  <dimension ref="B1:BU46"/>
  <sheetViews>
    <sheetView topLeftCell="AZ1" workbookViewId="0">
      <selection activeCell="BN6" sqref="BN6:BU10"/>
    </sheetView>
  </sheetViews>
  <sheetFormatPr defaultRowHeight="14.4" x14ac:dyDescent="0.3"/>
  <cols>
    <col min="1" max="1" width="2" style="1" customWidth="1"/>
    <col min="2" max="2" width="8.88671875" style="1"/>
    <col min="3" max="3" width="11.6640625" style="1" bestFit="1" customWidth="1"/>
    <col min="4" max="4" width="11.5546875" style="1" bestFit="1" customWidth="1"/>
    <col min="5" max="5" width="8.88671875" style="1"/>
    <col min="6" max="6" width="12.6640625" style="1" customWidth="1"/>
    <col min="7" max="7" width="8.88671875" style="1"/>
    <col min="8" max="8" width="2" style="20" customWidth="1"/>
    <col min="9" max="11" width="8.88671875" style="1"/>
    <col min="12" max="12" width="12.21875" style="1" bestFit="1" customWidth="1"/>
    <col min="13" max="13" width="2" style="20" customWidth="1"/>
    <col min="14" max="14" width="8.88671875" style="1"/>
    <col min="15" max="15" width="9.21875" style="1" bestFit="1" customWidth="1"/>
    <col min="16" max="16" width="12.21875" style="1" bestFit="1" customWidth="1"/>
    <col min="17" max="17" width="2" style="20" customWidth="1"/>
    <col min="18" max="19" width="8.88671875" style="1"/>
    <col min="20" max="20" width="10.109375" style="1" bestFit="1" customWidth="1"/>
    <col min="21" max="21" width="2" style="20" customWidth="1"/>
    <col min="22" max="22" width="8.88671875" style="1"/>
    <col min="23" max="23" width="8.33203125" style="1" customWidth="1"/>
    <col min="24" max="24" width="10.109375" style="1" bestFit="1" customWidth="1"/>
    <col min="25" max="25" width="2" style="20" customWidth="1"/>
    <col min="26" max="28" width="10.109375" style="1" customWidth="1"/>
    <col min="29" max="29" width="2" style="20" customWidth="1"/>
    <col min="30" max="30" width="9" style="1" bestFit="1" customWidth="1"/>
    <col min="31" max="33" width="10.109375" style="1" bestFit="1" customWidth="1"/>
    <col min="34" max="34" width="9.109375" style="1" bestFit="1" customWidth="1"/>
    <col min="35" max="35" width="9.109375" style="1" customWidth="1"/>
    <col min="36" max="36" width="12.109375" style="1" bestFit="1" customWidth="1"/>
    <col min="37" max="37" width="12.109375" style="1" customWidth="1"/>
    <col min="38" max="38" width="2" style="36" customWidth="1"/>
    <col min="39" max="39" width="2" style="35" customWidth="1"/>
    <col min="40" max="40" width="2" style="36" customWidth="1"/>
    <col min="41" max="41" width="15.109375" style="1" customWidth="1"/>
    <col min="42" max="44" width="8.88671875" style="1"/>
    <col min="45" max="45" width="2" style="20" customWidth="1"/>
    <col min="46" max="46" width="10.21875" style="1" customWidth="1"/>
    <col min="47" max="48" width="8.88671875" style="1"/>
    <col min="49" max="49" width="2" style="20" customWidth="1"/>
    <col min="50" max="52" width="12.109375" style="1" customWidth="1"/>
    <col min="53" max="53" width="2" style="20" customWidth="1"/>
    <col min="54" max="56" width="12.109375" style="1" customWidth="1"/>
    <col min="57" max="57" width="2" style="20" customWidth="1"/>
    <col min="58" max="60" width="12.109375" style="1" customWidth="1"/>
    <col min="61" max="61" width="2" style="20" customWidth="1"/>
    <col min="62" max="64" width="12.109375" style="1" customWidth="1"/>
    <col min="65" max="65" width="2" style="20" customWidth="1"/>
    <col min="66" max="66" width="11.88671875" style="1" customWidth="1"/>
    <col min="67" max="71" width="8.88671875" style="1"/>
    <col min="72" max="72" width="15.77734375" style="1" bestFit="1" customWidth="1"/>
    <col min="73" max="16384" width="8.88671875" style="1"/>
  </cols>
  <sheetData>
    <row r="1" spans="2:73" ht="18" x14ac:dyDescent="0.35">
      <c r="B1" s="10" t="s">
        <v>286</v>
      </c>
      <c r="AC1" s="20" t="s">
        <v>282</v>
      </c>
      <c r="AO1" s="10" t="s">
        <v>285</v>
      </c>
    </row>
    <row r="2" spans="2:73" x14ac:dyDescent="0.3">
      <c r="B2" s="19" t="s">
        <v>182</v>
      </c>
      <c r="I2" s="19" t="s">
        <v>185</v>
      </c>
      <c r="N2" s="19" t="s">
        <v>135</v>
      </c>
      <c r="R2" s="19" t="s">
        <v>136</v>
      </c>
      <c r="S2" s="19"/>
      <c r="V2" s="19" t="s">
        <v>239</v>
      </c>
      <c r="W2" s="19"/>
      <c r="Z2" s="19" t="s">
        <v>268</v>
      </c>
      <c r="AD2" s="19" t="s">
        <v>188</v>
      </c>
      <c r="AE2" s="19"/>
      <c r="AF2" s="19"/>
      <c r="AO2" s="19" t="s">
        <v>195</v>
      </c>
      <c r="AT2" s="19" t="s">
        <v>196</v>
      </c>
      <c r="AX2" s="19" t="s">
        <v>135</v>
      </c>
      <c r="BB2" s="19" t="s">
        <v>136</v>
      </c>
      <c r="BF2" s="19" t="s">
        <v>239</v>
      </c>
      <c r="BJ2" s="19" t="s">
        <v>268</v>
      </c>
      <c r="BN2" s="19" t="s">
        <v>188</v>
      </c>
    </row>
    <row r="4" spans="2:73" x14ac:dyDescent="0.3">
      <c r="B4" s="13" t="s">
        <v>177</v>
      </c>
      <c r="I4" s="13" t="s">
        <v>177</v>
      </c>
      <c r="N4" s="13" t="s">
        <v>177</v>
      </c>
      <c r="R4" s="13" t="s">
        <v>177</v>
      </c>
      <c r="V4" s="13" t="s">
        <v>177</v>
      </c>
      <c r="Z4" s="13" t="s">
        <v>177</v>
      </c>
      <c r="AD4" s="13" t="s">
        <v>177</v>
      </c>
      <c r="AE4" s="13"/>
      <c r="AF4" s="13"/>
      <c r="AO4" s="13" t="s">
        <v>194</v>
      </c>
      <c r="AT4" s="13" t="s">
        <v>194</v>
      </c>
      <c r="AX4" s="13" t="s">
        <v>194</v>
      </c>
      <c r="BB4" s="13" t="s">
        <v>194</v>
      </c>
      <c r="BF4" s="13" t="s">
        <v>194</v>
      </c>
      <c r="BJ4" s="13" t="s">
        <v>194</v>
      </c>
      <c r="BN4" s="13" t="s">
        <v>194</v>
      </c>
    </row>
    <row r="6" spans="2:73" x14ac:dyDescent="0.3">
      <c r="B6" s="9" t="s">
        <v>162</v>
      </c>
      <c r="C6" s="9" t="s">
        <v>163</v>
      </c>
      <c r="D6" s="9" t="s">
        <v>164</v>
      </c>
      <c r="E6" s="9" t="s">
        <v>165</v>
      </c>
      <c r="F6" s="9" t="s">
        <v>166</v>
      </c>
      <c r="G6" s="9" t="s">
        <v>178</v>
      </c>
      <c r="I6" s="9" t="s">
        <v>162</v>
      </c>
      <c r="J6" s="9" t="s">
        <v>183</v>
      </c>
      <c r="K6" s="9" t="s">
        <v>184</v>
      </c>
      <c r="L6" s="9" t="s">
        <v>186</v>
      </c>
      <c r="N6" s="9" t="s">
        <v>162</v>
      </c>
      <c r="O6" s="9" t="s">
        <v>183</v>
      </c>
      <c r="P6" s="9" t="s">
        <v>184</v>
      </c>
      <c r="R6" s="9" t="s">
        <v>162</v>
      </c>
      <c r="S6" s="9" t="s">
        <v>183</v>
      </c>
      <c r="T6" s="9" t="s">
        <v>184</v>
      </c>
      <c r="V6" s="9" t="s">
        <v>162</v>
      </c>
      <c r="W6" s="9" t="s">
        <v>183</v>
      </c>
      <c r="X6" s="9" t="s">
        <v>184</v>
      </c>
      <c r="Z6" s="9" t="s">
        <v>162</v>
      </c>
      <c r="AA6" s="9" t="s">
        <v>183</v>
      </c>
      <c r="AB6" s="9" t="s">
        <v>184</v>
      </c>
      <c r="AD6" s="9" t="s">
        <v>162</v>
      </c>
      <c r="AE6" s="9" t="s">
        <v>135</v>
      </c>
      <c r="AF6" s="9" t="s">
        <v>136</v>
      </c>
      <c r="AG6" s="9" t="s">
        <v>189</v>
      </c>
      <c r="AH6" s="9" t="s">
        <v>33</v>
      </c>
      <c r="AI6" s="9" t="s">
        <v>239</v>
      </c>
      <c r="AJ6" s="9" t="s">
        <v>190</v>
      </c>
      <c r="AK6" s="9" t="s">
        <v>268</v>
      </c>
      <c r="AO6" s="9" t="s">
        <v>191</v>
      </c>
      <c r="AP6" s="9" t="s">
        <v>131</v>
      </c>
      <c r="AQ6" s="9" t="s">
        <v>183</v>
      </c>
      <c r="AR6" s="9" t="s">
        <v>184</v>
      </c>
      <c r="AT6" s="9" t="s">
        <v>191</v>
      </c>
      <c r="AU6" s="9" t="s">
        <v>183</v>
      </c>
      <c r="AV6" s="9" t="s">
        <v>184</v>
      </c>
      <c r="AX6" s="9" t="s">
        <v>191</v>
      </c>
      <c r="AY6" s="9" t="s">
        <v>183</v>
      </c>
      <c r="AZ6" s="9" t="s">
        <v>184</v>
      </c>
      <c r="BB6" s="9" t="s">
        <v>191</v>
      </c>
      <c r="BC6" s="9" t="s">
        <v>183</v>
      </c>
      <c r="BD6" s="9" t="s">
        <v>184</v>
      </c>
      <c r="BF6" s="9" t="s">
        <v>191</v>
      </c>
      <c r="BG6" s="9" t="s">
        <v>183</v>
      </c>
      <c r="BH6" s="9" t="s">
        <v>184</v>
      </c>
      <c r="BJ6" s="9" t="s">
        <v>191</v>
      </c>
      <c r="BK6" s="9" t="s">
        <v>183</v>
      </c>
      <c r="BL6" s="9" t="s">
        <v>184</v>
      </c>
      <c r="BN6" s="9" t="s">
        <v>191</v>
      </c>
      <c r="BO6" s="9" t="s">
        <v>135</v>
      </c>
      <c r="BP6" s="9" t="s">
        <v>136</v>
      </c>
      <c r="BQ6" s="9" t="s">
        <v>189</v>
      </c>
      <c r="BR6" s="9" t="s">
        <v>33</v>
      </c>
      <c r="BS6" s="9" t="s">
        <v>239</v>
      </c>
      <c r="BT6" s="9" t="s">
        <v>198</v>
      </c>
      <c r="BU6" s="9" t="s">
        <v>268</v>
      </c>
    </row>
    <row r="7" spans="2:73" x14ac:dyDescent="0.3">
      <c r="B7" s="1" t="s">
        <v>167</v>
      </c>
      <c r="C7" s="15">
        <v>7.6682159999999999E-2</v>
      </c>
      <c r="D7" s="14">
        <v>12385875.99</v>
      </c>
      <c r="E7" s="15">
        <v>0.98591989999999996</v>
      </c>
      <c r="F7" s="14">
        <v>1529515.1</v>
      </c>
      <c r="G7" s="1" t="str">
        <f>+IF(F7&lt;D7,"GGM","BM")</f>
        <v>GGM</v>
      </c>
      <c r="I7" s="1" t="s">
        <v>167</v>
      </c>
      <c r="J7" s="12">
        <v>0.99999850000000001</v>
      </c>
      <c r="K7" s="14">
        <v>15681.4452</v>
      </c>
      <c r="L7" s="14">
        <f>+K7-_xlfn.XLOOKUP(I7,B$7:B$16,F$7:F$16)</f>
        <v>-1513833.6548000001</v>
      </c>
      <c r="N7" s="1" t="s">
        <v>167</v>
      </c>
      <c r="O7" s="12">
        <v>-0.39370899999999998</v>
      </c>
      <c r="P7" s="14">
        <v>15217290</v>
      </c>
      <c r="R7" s="1" t="s">
        <v>167</v>
      </c>
      <c r="S7" s="12">
        <v>-9.8227999999999996E-2</v>
      </c>
      <c r="T7" s="14">
        <v>13264390</v>
      </c>
      <c r="V7" s="1" t="s">
        <v>167</v>
      </c>
      <c r="W7" s="31">
        <v>0.99999800000000005</v>
      </c>
      <c r="X7" s="14">
        <v>15940.183487</v>
      </c>
      <c r="Z7" s="1" t="s">
        <v>167</v>
      </c>
      <c r="AA7" s="31">
        <v>0.99995000000000001</v>
      </c>
      <c r="AB7" s="14">
        <v>91507.114184000005</v>
      </c>
      <c r="AD7" s="1" t="s">
        <v>167</v>
      </c>
      <c r="AE7" s="14">
        <f>+_xlfn.XLOOKUP($AD7,N$7:N$16,P$7:P$16)</f>
        <v>15217290</v>
      </c>
      <c r="AF7" s="14">
        <f>+_xlfn.XLOOKUP($AD7,R$7:R$16,T$7:T$16)</f>
        <v>13264390</v>
      </c>
      <c r="AG7" s="14">
        <f>+_xlfn.XLOOKUP($AD7,B$7:B$16,D$7:D$16)</f>
        <v>12385875.99</v>
      </c>
      <c r="AH7" s="14">
        <f>+_xlfn.XLOOKUP($AD7,B$7:B$16,F$7:F$16)</f>
        <v>1529515.1</v>
      </c>
      <c r="AI7" s="14">
        <f>+_xlfn.XLOOKUP($AD7,V$7:V$16,X$7:X$16)</f>
        <v>15940.183487</v>
      </c>
      <c r="AJ7" s="14">
        <f t="shared" ref="AJ7:AJ16" si="0">+_xlfn.XLOOKUP($AD7,I$7:I$16,K$7:K$16)</f>
        <v>15681.4452</v>
      </c>
      <c r="AK7" s="14">
        <f>+_xlfn.XLOOKUP(AD7,$Z$7:$Z$16,$AB$7:$AB$16)</f>
        <v>91507.114184000005</v>
      </c>
      <c r="AO7" s="1" t="s">
        <v>192</v>
      </c>
      <c r="AP7" s="1" t="s">
        <v>189</v>
      </c>
      <c r="AQ7" s="12">
        <v>-0.25174930000000001</v>
      </c>
      <c r="AR7" s="14">
        <v>210875.2597</v>
      </c>
      <c r="AT7" s="1" t="s">
        <v>192</v>
      </c>
      <c r="AU7" s="23">
        <v>0.99999979999999999</v>
      </c>
      <c r="AV7" s="25">
        <v>91.979789999999994</v>
      </c>
      <c r="AX7" s="1" t="s">
        <v>193</v>
      </c>
      <c r="AY7" s="12">
        <v>0.94224399999999997</v>
      </c>
      <c r="AZ7" s="14">
        <v>4703.6260300000004</v>
      </c>
      <c r="BB7" s="1" t="s">
        <v>193</v>
      </c>
      <c r="BC7" s="12">
        <v>0.91772100000000001</v>
      </c>
      <c r="BD7" s="14">
        <v>5614.0714690000004</v>
      </c>
      <c r="BF7" s="1" t="s">
        <v>193</v>
      </c>
      <c r="BG7" s="12">
        <v>0.99995330000000004</v>
      </c>
      <c r="BH7" s="14">
        <v>133.75837000000001</v>
      </c>
      <c r="BJ7" s="1" t="s">
        <v>193</v>
      </c>
      <c r="BK7" s="12">
        <v>0.98349299999999995</v>
      </c>
      <c r="BL7" s="14">
        <v>2514.5705710000002</v>
      </c>
      <c r="BN7" s="1" t="s">
        <v>192</v>
      </c>
      <c r="BO7" s="14">
        <f>+_xlfn.XLOOKUP($BN7,$AX$7:$AX$10,$AZ$7:$AZ$10)</f>
        <v>22520.654823000001</v>
      </c>
      <c r="BP7" s="14">
        <f>+_xlfn.XLOOKUP(BN7,$BB$7:$BB$10,$BD$7:$BD$10)</f>
        <v>16596.507481000001</v>
      </c>
      <c r="BQ7" s="14">
        <f>+AR7</f>
        <v>210875.2597</v>
      </c>
      <c r="BR7" s="14">
        <f>+AR8</f>
        <v>15764.5885</v>
      </c>
      <c r="BS7" s="14">
        <f>+_xlfn.XLOOKUP(BN7,$BF$7:$BF$10,$BH$7:$BH$10)</f>
        <v>89.78492</v>
      </c>
      <c r="BT7" s="14">
        <f>+AV7</f>
        <v>91.979789999999994</v>
      </c>
      <c r="BU7" s="14">
        <f>+_xlfn.XLOOKUP(BN7,$BJ$7:$BJ$10,$BL$7:$BL$10)</f>
        <v>6828.2612090000002</v>
      </c>
    </row>
    <row r="8" spans="2:73" x14ac:dyDescent="0.3">
      <c r="B8" s="6" t="s">
        <v>168</v>
      </c>
      <c r="C8" s="16">
        <v>-0.13819318</v>
      </c>
      <c r="D8" s="17">
        <v>1864908.65</v>
      </c>
      <c r="E8" s="16">
        <v>0.76609179999999999</v>
      </c>
      <c r="F8" s="17">
        <v>845419.62</v>
      </c>
      <c r="G8" s="6" t="str">
        <f t="shared" ref="G8:G16" si="1">+IF(F8&lt;D8,"GGM","BM")</f>
        <v>GGM</v>
      </c>
      <c r="I8" s="6" t="s">
        <v>168</v>
      </c>
      <c r="J8" s="18">
        <v>0.99999919999999998</v>
      </c>
      <c r="K8" s="17">
        <v>1577.3933</v>
      </c>
      <c r="L8" s="17">
        <f t="shared" ref="L8:L16" si="2">+K8-_xlfn.XLOOKUP(I8,B$7:B$16,F$7:F$16)</f>
        <v>-843842.2267</v>
      </c>
      <c r="N8" s="6" t="s">
        <v>168</v>
      </c>
      <c r="O8" s="18">
        <v>0.44333400000000001</v>
      </c>
      <c r="P8" s="17">
        <v>1304208</v>
      </c>
      <c r="R8" s="6" t="s">
        <v>168</v>
      </c>
      <c r="S8" s="18">
        <v>0.91093299999999999</v>
      </c>
      <c r="T8" s="17">
        <v>518469</v>
      </c>
      <c r="V8" s="6" t="s">
        <v>168</v>
      </c>
      <c r="W8" s="32">
        <v>0.99999899999999997</v>
      </c>
      <c r="X8" s="17">
        <v>1580.191648</v>
      </c>
      <c r="Z8" s="6" t="s">
        <v>168</v>
      </c>
      <c r="AA8" s="32">
        <v>0.999973</v>
      </c>
      <c r="AB8" s="17">
        <v>9120.9211990000003</v>
      </c>
      <c r="AD8" s="6" t="s">
        <v>168</v>
      </c>
      <c r="AE8" s="14">
        <f t="shared" ref="AE8:AE16" si="3">+_xlfn.XLOOKUP($AD8,N$7:N$16,P$7:P$16)</f>
        <v>1304208</v>
      </c>
      <c r="AF8" s="14">
        <f t="shared" ref="AF8:AF16" si="4">+_xlfn.XLOOKUP($AD8,R$7:R$16,T$7:T$16)</f>
        <v>518469</v>
      </c>
      <c r="AG8" s="14">
        <f t="shared" ref="AG8:AG16" si="5">+_xlfn.XLOOKUP($AD8,B$7:B$16,D$7:D$16)</f>
        <v>1864908.65</v>
      </c>
      <c r="AH8" s="14">
        <f t="shared" ref="AH8:AH16" si="6">+_xlfn.XLOOKUP($AD8,B$7:B$16,F$7:F$16)</f>
        <v>845419.62</v>
      </c>
      <c r="AI8" s="14">
        <f t="shared" ref="AI8:AI16" si="7">+_xlfn.XLOOKUP($AD8,V$7:V$16,X$7:X$16)</f>
        <v>1580.191648</v>
      </c>
      <c r="AJ8" s="14">
        <f t="shared" si="0"/>
        <v>1577.3933</v>
      </c>
      <c r="AK8" s="14">
        <f t="shared" ref="AK8:AK16" si="8">+_xlfn.XLOOKUP(AD8,$Z$7:$Z$16,$AB$7:$AB$16)</f>
        <v>9120.9211990000003</v>
      </c>
      <c r="AO8" s="6" t="s">
        <v>192</v>
      </c>
      <c r="AP8" s="6" t="s">
        <v>33</v>
      </c>
      <c r="AQ8" s="18">
        <v>0.99300429999999995</v>
      </c>
      <c r="AR8" s="17">
        <v>15764.5885</v>
      </c>
      <c r="AT8" s="6" t="s">
        <v>193</v>
      </c>
      <c r="AU8" s="24">
        <v>0.99997420000000004</v>
      </c>
      <c r="AV8" s="26">
        <v>99.435940000000002</v>
      </c>
      <c r="AX8" s="6" t="s">
        <v>192</v>
      </c>
      <c r="AY8" s="18">
        <v>0.98572300000000002</v>
      </c>
      <c r="AZ8" s="17">
        <v>22520.654823000001</v>
      </c>
      <c r="BB8" s="6" t="s">
        <v>192</v>
      </c>
      <c r="BC8" s="18">
        <v>0.99224599999999996</v>
      </c>
      <c r="BD8" s="17">
        <v>16596.507481000001</v>
      </c>
      <c r="BF8" s="6" t="s">
        <v>192</v>
      </c>
      <c r="BG8" s="18">
        <v>0.99999979999999999</v>
      </c>
      <c r="BH8" s="17">
        <v>89.78492</v>
      </c>
      <c r="BJ8" s="6" t="s">
        <v>192</v>
      </c>
      <c r="BK8" s="18">
        <v>0.99868800000000002</v>
      </c>
      <c r="BL8" s="17">
        <v>6828.2612090000002</v>
      </c>
      <c r="BN8" s="6" t="s">
        <v>193</v>
      </c>
      <c r="BO8" s="17">
        <f t="shared" ref="BO8:BO10" si="9">+_xlfn.XLOOKUP($BN8,$AX$7:$AX$10,$AZ$7:$AZ$10)</f>
        <v>4703.6260300000004</v>
      </c>
      <c r="BP8" s="17">
        <f t="shared" ref="BP8:BP10" si="10">+_xlfn.XLOOKUP(BN8,$BB$7:$BB$10,$BD$7:$BD$10)</f>
        <v>5614.0714690000004</v>
      </c>
      <c r="BQ8" s="17">
        <f>+AR9</f>
        <v>1100.5509999999999</v>
      </c>
      <c r="BR8" s="17">
        <f>+AR10</f>
        <v>756.05920000000003</v>
      </c>
      <c r="BS8" s="17">
        <f t="shared" ref="BS8:BS10" si="11">+_xlfn.XLOOKUP(BN8,$BF$7:$BF$10,$BH$7:$BH$10)</f>
        <v>133.75837000000001</v>
      </c>
      <c r="BT8" s="17">
        <f>+AV8</f>
        <v>99.435940000000002</v>
      </c>
      <c r="BU8" s="17">
        <f t="shared" ref="BU8:BU10" si="12">+_xlfn.XLOOKUP(BN8,$BJ$7:$BJ$10,$BL$7:$BL$10)</f>
        <v>2514.5705710000002</v>
      </c>
    </row>
    <row r="9" spans="2:73" x14ac:dyDescent="0.3">
      <c r="B9" s="1" t="s">
        <v>169</v>
      </c>
      <c r="C9" s="15">
        <v>0.99484592000000005</v>
      </c>
      <c r="D9" s="14">
        <v>177163.47</v>
      </c>
      <c r="E9" s="15">
        <v>0.99522969999999999</v>
      </c>
      <c r="F9" s="14">
        <v>170439.52</v>
      </c>
      <c r="G9" s="1" t="str">
        <f t="shared" si="1"/>
        <v>GGM</v>
      </c>
      <c r="I9" s="1" t="s">
        <v>169</v>
      </c>
      <c r="J9" s="12">
        <v>0.99526269999999994</v>
      </c>
      <c r="K9" s="14">
        <v>169850.0097</v>
      </c>
      <c r="L9" s="14">
        <f t="shared" si="2"/>
        <v>-589.51029999999446</v>
      </c>
      <c r="N9" s="1" t="s">
        <v>169</v>
      </c>
      <c r="O9" s="12">
        <v>-0.84969700000000004</v>
      </c>
      <c r="P9" s="14">
        <v>3356209</v>
      </c>
      <c r="R9" s="1" t="s">
        <v>169</v>
      </c>
      <c r="S9" s="12">
        <v>-0.18831400000000001</v>
      </c>
      <c r="T9" s="14">
        <v>2617900</v>
      </c>
      <c r="V9" s="1" t="s">
        <v>169</v>
      </c>
      <c r="W9" s="31">
        <v>0.99999899999999997</v>
      </c>
      <c r="X9" s="14">
        <v>2142.2691100000002</v>
      </c>
      <c r="Z9" s="1" t="s">
        <v>169</v>
      </c>
      <c r="AA9" s="31">
        <v>0.99992800000000004</v>
      </c>
      <c r="AB9" s="14">
        <v>20962.221375000001</v>
      </c>
      <c r="AD9" s="1" t="s">
        <v>169</v>
      </c>
      <c r="AE9" s="14">
        <f t="shared" si="3"/>
        <v>3356209</v>
      </c>
      <c r="AF9" s="14">
        <f t="shared" si="4"/>
        <v>2617900</v>
      </c>
      <c r="AG9" s="14">
        <f t="shared" si="5"/>
        <v>177163.47</v>
      </c>
      <c r="AH9" s="14">
        <f t="shared" si="6"/>
        <v>170439.52</v>
      </c>
      <c r="AI9" s="14">
        <f t="shared" si="7"/>
        <v>2142.2691100000002</v>
      </c>
      <c r="AJ9" s="14">
        <f t="shared" si="0"/>
        <v>169850.0097</v>
      </c>
      <c r="AK9" s="14">
        <f t="shared" si="8"/>
        <v>20962.221375000001</v>
      </c>
      <c r="AO9" s="1" t="s">
        <v>193</v>
      </c>
      <c r="AP9" s="1" t="s">
        <v>189</v>
      </c>
      <c r="AQ9" s="12">
        <v>0.99683809999999995</v>
      </c>
      <c r="AR9" s="14">
        <v>1100.5509999999999</v>
      </c>
      <c r="AT9" s="1" t="s">
        <v>289</v>
      </c>
      <c r="AU9" s="23">
        <v>0.9999806</v>
      </c>
      <c r="AV9" s="25">
        <v>88.003110000000007</v>
      </c>
      <c r="AX9" s="1" t="s">
        <v>197</v>
      </c>
      <c r="AY9" s="12">
        <v>0.98843700000000001</v>
      </c>
      <c r="AZ9" s="14">
        <v>2148.462321</v>
      </c>
      <c r="BB9" s="1" t="s">
        <v>197</v>
      </c>
      <c r="BC9" s="12">
        <v>0.97706400000000004</v>
      </c>
      <c r="BD9" s="14">
        <v>3025.804118</v>
      </c>
      <c r="BF9" s="1" t="s">
        <v>197</v>
      </c>
      <c r="BG9" s="12">
        <v>0.999977</v>
      </c>
      <c r="BH9" s="14">
        <v>95.776430000000005</v>
      </c>
      <c r="BJ9" s="1" t="s">
        <v>197</v>
      </c>
      <c r="BK9" s="12">
        <v>0.99990800000000002</v>
      </c>
      <c r="BL9" s="14">
        <v>192.12411499999999</v>
      </c>
      <c r="BN9" s="1" t="s">
        <v>197</v>
      </c>
      <c r="BO9" s="14">
        <f t="shared" si="9"/>
        <v>2148.462321</v>
      </c>
      <c r="BP9" s="14">
        <f t="shared" si="10"/>
        <v>3025.804118</v>
      </c>
      <c r="BQ9" s="14">
        <f>+AR11</f>
        <v>1976.5089</v>
      </c>
      <c r="BR9" s="14">
        <f>+AR12</f>
        <v>902.76419999999996</v>
      </c>
      <c r="BS9" s="14">
        <f t="shared" si="11"/>
        <v>95.776430000000005</v>
      </c>
      <c r="BT9" s="14">
        <f>+AV9</f>
        <v>88.003110000000007</v>
      </c>
      <c r="BU9" s="14">
        <f t="shared" si="12"/>
        <v>192.12411499999999</v>
      </c>
    </row>
    <row r="10" spans="2:73" x14ac:dyDescent="0.3">
      <c r="B10" s="6" t="s">
        <v>187</v>
      </c>
      <c r="C10" s="16">
        <v>0.98982815000000002</v>
      </c>
      <c r="D10" s="17">
        <v>23648.33</v>
      </c>
      <c r="E10" s="16">
        <v>0.99253970000000002</v>
      </c>
      <c r="F10" s="17">
        <v>20252.46</v>
      </c>
      <c r="G10" s="6" t="str">
        <f t="shared" si="1"/>
        <v>GGM</v>
      </c>
      <c r="I10" s="6" t="s">
        <v>187</v>
      </c>
      <c r="J10" s="18">
        <v>0.99999669999999996</v>
      </c>
      <c r="K10" s="17">
        <v>425.01549999999997</v>
      </c>
      <c r="L10" s="17">
        <f t="shared" si="2"/>
        <v>-19827.444499999998</v>
      </c>
      <c r="N10" s="6" t="s">
        <v>187</v>
      </c>
      <c r="O10" s="18">
        <v>-0.70091599999999998</v>
      </c>
      <c r="P10" s="17">
        <v>305803.09999999998</v>
      </c>
      <c r="R10" s="6" t="s">
        <v>187</v>
      </c>
      <c r="S10" s="18">
        <v>3.9317999999999999E-2</v>
      </c>
      <c r="T10" s="17">
        <v>224458</v>
      </c>
      <c r="V10" s="6" t="s">
        <v>187</v>
      </c>
      <c r="W10" s="32">
        <v>0.99999700000000002</v>
      </c>
      <c r="X10" s="17">
        <v>433.14919800000001</v>
      </c>
      <c r="Z10" s="6" t="s">
        <v>187</v>
      </c>
      <c r="AA10" s="32">
        <v>0.99969300000000005</v>
      </c>
      <c r="AB10" s="17">
        <v>4105.2196100000001</v>
      </c>
      <c r="AD10" s="6" t="s">
        <v>187</v>
      </c>
      <c r="AE10" s="14">
        <f t="shared" si="3"/>
        <v>305803.09999999998</v>
      </c>
      <c r="AF10" s="14">
        <f t="shared" si="4"/>
        <v>224458</v>
      </c>
      <c r="AG10" s="14">
        <f t="shared" si="5"/>
        <v>23648.33</v>
      </c>
      <c r="AH10" s="14">
        <f t="shared" si="6"/>
        <v>20252.46</v>
      </c>
      <c r="AI10" s="14">
        <f t="shared" si="7"/>
        <v>433.14919800000001</v>
      </c>
      <c r="AJ10" s="14">
        <f t="shared" si="0"/>
        <v>425.01549999999997</v>
      </c>
      <c r="AK10" s="14">
        <f t="shared" si="8"/>
        <v>4105.2196100000001</v>
      </c>
      <c r="AO10" s="6" t="s">
        <v>193</v>
      </c>
      <c r="AP10" s="6" t="s">
        <v>33</v>
      </c>
      <c r="AQ10" s="18">
        <v>0.9985077</v>
      </c>
      <c r="AR10" s="17">
        <v>756.05920000000003</v>
      </c>
      <c r="AT10" s="6" t="s">
        <v>283</v>
      </c>
      <c r="AU10" s="24">
        <v>0.99999979999999999</v>
      </c>
      <c r="AV10" s="26">
        <v>163.67088000000001</v>
      </c>
      <c r="AX10" s="6" t="s">
        <v>283</v>
      </c>
      <c r="AY10" s="18">
        <v>0.98303399999999996</v>
      </c>
      <c r="AZ10" s="17">
        <v>53755.513460000002</v>
      </c>
      <c r="BB10" s="6" t="s">
        <v>283</v>
      </c>
      <c r="BC10" s="18">
        <v>0.99701899999999999</v>
      </c>
      <c r="BD10" s="17">
        <v>22532.557326999999</v>
      </c>
      <c r="BF10" s="6" t="s">
        <v>283</v>
      </c>
      <c r="BG10" s="18">
        <v>0.99999990000000005</v>
      </c>
      <c r="BH10" s="17">
        <v>157.38897</v>
      </c>
      <c r="BJ10" s="6" t="s">
        <v>283</v>
      </c>
      <c r="BK10" s="18">
        <v>0.99997000000000003</v>
      </c>
      <c r="BL10" s="17">
        <v>2248.9489680000001</v>
      </c>
      <c r="BN10" s="6" t="s">
        <v>283</v>
      </c>
      <c r="BO10" s="17">
        <f t="shared" si="9"/>
        <v>53755.513460000002</v>
      </c>
      <c r="BP10" s="17">
        <f t="shared" si="10"/>
        <v>22532.557326999999</v>
      </c>
      <c r="BQ10" s="17">
        <f>+AR13</f>
        <v>12493.0429</v>
      </c>
      <c r="BR10" s="17">
        <f>+AR14</f>
        <v>8614.8230000000003</v>
      </c>
      <c r="BS10" s="17">
        <f t="shared" si="11"/>
        <v>157.38897</v>
      </c>
      <c r="BT10" s="17">
        <f>+AV10</f>
        <v>163.67088000000001</v>
      </c>
      <c r="BU10" s="17">
        <f t="shared" si="12"/>
        <v>2248.9489680000001</v>
      </c>
    </row>
    <row r="11" spans="2:73" x14ac:dyDescent="0.3">
      <c r="B11" s="1" t="s">
        <v>171</v>
      </c>
      <c r="C11" s="15">
        <v>0.99039379999999999</v>
      </c>
      <c r="D11" s="14">
        <v>1367228.95</v>
      </c>
      <c r="E11" s="15">
        <v>0.99169609999999997</v>
      </c>
      <c r="F11" s="14">
        <v>1271179.51</v>
      </c>
      <c r="G11" s="1" t="str">
        <f t="shared" si="1"/>
        <v>GGM</v>
      </c>
      <c r="I11" s="1" t="s">
        <v>171</v>
      </c>
      <c r="J11" s="12">
        <v>0.99999199999999999</v>
      </c>
      <c r="K11" s="14">
        <v>39575.911200000002</v>
      </c>
      <c r="L11" s="14">
        <f t="shared" si="2"/>
        <v>-1231603.5988</v>
      </c>
      <c r="N11" s="1" t="s">
        <v>171</v>
      </c>
      <c r="O11" s="12">
        <v>0.97311099999999995</v>
      </c>
      <c r="P11" s="14">
        <v>2287439</v>
      </c>
      <c r="R11" s="1" t="s">
        <v>171</v>
      </c>
      <c r="S11" s="12">
        <v>0.98591399999999996</v>
      </c>
      <c r="T11" s="14">
        <v>1656545</v>
      </c>
      <c r="V11" s="1" t="s">
        <v>171</v>
      </c>
      <c r="W11" s="31">
        <v>0.99999499999999997</v>
      </c>
      <c r="X11" s="14">
        <v>30356.430119000001</v>
      </c>
      <c r="Z11" s="1" t="s">
        <v>171</v>
      </c>
      <c r="AA11" s="31">
        <v>0.99996600000000002</v>
      </c>
      <c r="AB11" s="14">
        <v>81396.828680000006</v>
      </c>
      <c r="AD11" s="1" t="s">
        <v>171</v>
      </c>
      <c r="AE11" s="14">
        <f t="shared" si="3"/>
        <v>2287439</v>
      </c>
      <c r="AF11" s="14">
        <f t="shared" si="4"/>
        <v>1656545</v>
      </c>
      <c r="AG11" s="14">
        <f t="shared" si="5"/>
        <v>1367228.95</v>
      </c>
      <c r="AH11" s="14">
        <f t="shared" si="6"/>
        <v>1271179.51</v>
      </c>
      <c r="AI11" s="14">
        <f t="shared" si="7"/>
        <v>30356.430119000001</v>
      </c>
      <c r="AJ11" s="14">
        <f t="shared" si="0"/>
        <v>39575.911200000002</v>
      </c>
      <c r="AK11" s="14">
        <f t="shared" si="8"/>
        <v>81396.828680000006</v>
      </c>
      <c r="AO11" s="1" t="s">
        <v>197</v>
      </c>
      <c r="AP11" s="1" t="s">
        <v>189</v>
      </c>
      <c r="AQ11" s="12">
        <v>0.99021340000000002</v>
      </c>
      <c r="AR11" s="14">
        <v>1976.5089</v>
      </c>
      <c r="AY11" s="12"/>
      <c r="AZ11" s="14"/>
      <c r="BB11" s="14"/>
      <c r="BC11" s="14"/>
      <c r="BD11" s="14"/>
      <c r="BF11" s="14"/>
      <c r="BG11" s="14"/>
      <c r="BH11" s="14"/>
      <c r="BJ11" s="14"/>
      <c r="BK11" s="14"/>
      <c r="BL11" s="14"/>
    </row>
    <row r="12" spans="2:73" x14ac:dyDescent="0.3">
      <c r="B12" s="6" t="s">
        <v>172</v>
      </c>
      <c r="C12" s="16">
        <v>0.98519310000000004</v>
      </c>
      <c r="D12" s="17">
        <v>1102529.6399999999</v>
      </c>
      <c r="E12" s="16">
        <v>0.98868739999999999</v>
      </c>
      <c r="F12" s="17">
        <v>963692.8</v>
      </c>
      <c r="G12" s="6" t="str">
        <f t="shared" si="1"/>
        <v>GGM</v>
      </c>
      <c r="I12" s="6" t="s">
        <v>172</v>
      </c>
      <c r="J12" s="18">
        <v>0.99999669999999996</v>
      </c>
      <c r="K12" s="17">
        <v>16566.6181</v>
      </c>
      <c r="L12" s="17">
        <f t="shared" si="2"/>
        <v>-947126.18190000008</v>
      </c>
      <c r="N12" s="6" t="s">
        <v>172</v>
      </c>
      <c r="O12" s="18">
        <v>0.90446300000000002</v>
      </c>
      <c r="P12" s="17">
        <v>2800556</v>
      </c>
      <c r="R12" s="6" t="s">
        <v>172</v>
      </c>
      <c r="S12" s="18">
        <v>0.96489400000000003</v>
      </c>
      <c r="T12" s="17">
        <v>1697944</v>
      </c>
      <c r="V12" s="6" t="s">
        <v>172</v>
      </c>
      <c r="W12" s="32">
        <v>0.99999700000000002</v>
      </c>
      <c r="X12" s="17">
        <v>16474.693931999998</v>
      </c>
      <c r="Z12" s="6" t="s">
        <v>172</v>
      </c>
      <c r="AA12" s="32">
        <v>0.99982899999999997</v>
      </c>
      <c r="AB12" s="17">
        <v>118520.743653</v>
      </c>
      <c r="AD12" s="6" t="s">
        <v>172</v>
      </c>
      <c r="AE12" s="14">
        <f t="shared" si="3"/>
        <v>2800556</v>
      </c>
      <c r="AF12" s="14">
        <f t="shared" si="4"/>
        <v>1697944</v>
      </c>
      <c r="AG12" s="14">
        <f t="shared" si="5"/>
        <v>1102529.6399999999</v>
      </c>
      <c r="AH12" s="14">
        <f t="shared" si="6"/>
        <v>963692.8</v>
      </c>
      <c r="AI12" s="14">
        <f t="shared" si="7"/>
        <v>16474.693931999998</v>
      </c>
      <c r="AJ12" s="14">
        <f t="shared" si="0"/>
        <v>16566.6181</v>
      </c>
      <c r="AK12" s="14">
        <f t="shared" si="8"/>
        <v>118520.743653</v>
      </c>
      <c r="AO12" s="6" t="s">
        <v>197</v>
      </c>
      <c r="AP12" s="6" t="s">
        <v>33</v>
      </c>
      <c r="AQ12" s="18">
        <v>0.99795840000000002</v>
      </c>
      <c r="AR12" s="17">
        <v>902.76419999999996</v>
      </c>
      <c r="AY12" s="12"/>
      <c r="AZ12" s="14"/>
      <c r="BB12" s="14"/>
      <c r="BC12" s="14"/>
      <c r="BD12" s="14"/>
      <c r="BF12" s="14"/>
      <c r="BG12" s="14"/>
      <c r="BH12" s="14"/>
      <c r="BJ12" s="14"/>
      <c r="BK12" s="14"/>
      <c r="BL12" s="14"/>
      <c r="BN12" s="19" t="s">
        <v>199</v>
      </c>
    </row>
    <row r="13" spans="2:73" x14ac:dyDescent="0.3">
      <c r="B13" s="1" t="s">
        <v>173</v>
      </c>
      <c r="C13" s="15">
        <v>5.7728759999999997E-2</v>
      </c>
      <c r="D13" s="14">
        <v>2513538.7400000002</v>
      </c>
      <c r="E13" s="15">
        <v>0.99397869999999999</v>
      </c>
      <c r="F13" s="14">
        <v>200928.3</v>
      </c>
      <c r="G13" s="1" t="str">
        <f t="shared" si="1"/>
        <v>GGM</v>
      </c>
      <c r="I13" s="1" t="s">
        <v>173</v>
      </c>
      <c r="J13" s="12">
        <v>0.99991370000000002</v>
      </c>
      <c r="K13" s="14">
        <v>24061.312300000001</v>
      </c>
      <c r="L13" s="14">
        <f t="shared" si="2"/>
        <v>-176866.9877</v>
      </c>
      <c r="N13" s="1" t="s">
        <v>173</v>
      </c>
      <c r="O13" s="12">
        <v>-327.19220100000001</v>
      </c>
      <c r="P13" s="14">
        <v>46909600</v>
      </c>
      <c r="R13" s="1" t="s">
        <v>173</v>
      </c>
      <c r="S13" s="12">
        <v>-4.0384000000000003E-2</v>
      </c>
      <c r="T13" s="14">
        <v>2603995</v>
      </c>
      <c r="V13" s="1" t="s">
        <v>173</v>
      </c>
      <c r="W13" s="31">
        <v>0.99999099999999996</v>
      </c>
      <c r="X13" s="14">
        <v>7591.1932999999999</v>
      </c>
      <c r="Z13" s="1" t="s">
        <v>173</v>
      </c>
      <c r="AA13" s="31">
        <v>0.99989799999999995</v>
      </c>
      <c r="AB13" s="14">
        <v>26091.076145999999</v>
      </c>
      <c r="AD13" s="1" t="s">
        <v>173</v>
      </c>
      <c r="AE13" s="14">
        <f t="shared" si="3"/>
        <v>46909600</v>
      </c>
      <c r="AF13" s="14">
        <f t="shared" si="4"/>
        <v>2603995</v>
      </c>
      <c r="AG13" s="14">
        <f t="shared" si="5"/>
        <v>2513538.7400000002</v>
      </c>
      <c r="AH13" s="14">
        <f t="shared" si="6"/>
        <v>200928.3</v>
      </c>
      <c r="AI13" s="14">
        <f t="shared" si="7"/>
        <v>7591.1932999999999</v>
      </c>
      <c r="AJ13" s="14">
        <f t="shared" si="0"/>
        <v>24061.312300000001</v>
      </c>
      <c r="AK13" s="14">
        <f t="shared" si="8"/>
        <v>26091.076145999999</v>
      </c>
      <c r="AO13" s="1" t="s">
        <v>283</v>
      </c>
      <c r="AP13" s="1" t="s">
        <v>189</v>
      </c>
      <c r="AQ13" s="12">
        <v>0.99908359999999996</v>
      </c>
      <c r="AR13" s="14">
        <v>12493.0429</v>
      </c>
      <c r="AX13" s="14"/>
      <c r="AY13" s="14"/>
      <c r="AZ13" s="14"/>
      <c r="BB13" s="14"/>
      <c r="BC13" s="14"/>
      <c r="BD13" s="14"/>
      <c r="BF13" s="14"/>
      <c r="BG13" s="14"/>
      <c r="BH13" s="14"/>
      <c r="BJ13" s="14"/>
      <c r="BK13" s="14"/>
      <c r="BL13" s="14"/>
    </row>
    <row r="14" spans="2:73" x14ac:dyDescent="0.3">
      <c r="B14" s="6" t="s">
        <v>174</v>
      </c>
      <c r="C14" s="16">
        <v>1.795393E-2</v>
      </c>
      <c r="D14" s="17">
        <v>355071.95</v>
      </c>
      <c r="E14" s="16">
        <v>0.98202429999999996</v>
      </c>
      <c r="F14" s="17">
        <v>48038.9</v>
      </c>
      <c r="G14" s="6" t="str">
        <f t="shared" si="1"/>
        <v>GGM</v>
      </c>
      <c r="I14" s="6" t="s">
        <v>174</v>
      </c>
      <c r="J14" s="18">
        <v>0.99998960000000003</v>
      </c>
      <c r="K14" s="17">
        <v>1157.9239</v>
      </c>
      <c r="L14" s="17">
        <f t="shared" si="2"/>
        <v>-46880.9761</v>
      </c>
      <c r="N14" s="6" t="s">
        <v>174</v>
      </c>
      <c r="O14" s="18">
        <v>2.6889E-2</v>
      </c>
      <c r="P14" s="17">
        <v>353453</v>
      </c>
      <c r="R14" s="6" t="s">
        <v>174</v>
      </c>
      <c r="S14" s="18">
        <v>0.87112000000000001</v>
      </c>
      <c r="T14" s="17">
        <v>125949</v>
      </c>
      <c r="V14" s="6" t="s">
        <v>174</v>
      </c>
      <c r="W14" s="32">
        <v>0.99999000000000005</v>
      </c>
      <c r="X14" s="17">
        <v>1140.2147070000001</v>
      </c>
      <c r="Z14" s="6" t="s">
        <v>174</v>
      </c>
      <c r="AA14" s="32">
        <v>0.99961699999999998</v>
      </c>
      <c r="AB14" s="17">
        <v>7011.0990389999997</v>
      </c>
      <c r="AD14" s="6" t="s">
        <v>174</v>
      </c>
      <c r="AE14" s="14">
        <f t="shared" si="3"/>
        <v>353453</v>
      </c>
      <c r="AF14" s="14">
        <f t="shared" si="4"/>
        <v>125949</v>
      </c>
      <c r="AG14" s="14">
        <f t="shared" si="5"/>
        <v>355071.95</v>
      </c>
      <c r="AH14" s="14">
        <f t="shared" si="6"/>
        <v>48038.9</v>
      </c>
      <c r="AI14" s="14">
        <f t="shared" si="7"/>
        <v>1140.2147070000001</v>
      </c>
      <c r="AJ14" s="14">
        <f t="shared" si="0"/>
        <v>1157.9239</v>
      </c>
      <c r="AK14" s="14">
        <f t="shared" si="8"/>
        <v>7011.0990389999997</v>
      </c>
      <c r="AO14" s="6" t="s">
        <v>283</v>
      </c>
      <c r="AP14" s="6" t="s">
        <v>33</v>
      </c>
      <c r="AQ14" s="18">
        <v>0.99956429999999996</v>
      </c>
      <c r="AR14" s="17">
        <v>8614.8230000000003</v>
      </c>
      <c r="AX14" s="14"/>
      <c r="AY14" s="14"/>
      <c r="AZ14" s="14"/>
      <c r="BB14" s="14"/>
      <c r="BC14" s="14"/>
      <c r="BD14" s="14"/>
      <c r="BF14" s="14"/>
      <c r="BG14" s="14"/>
      <c r="BH14" s="14"/>
      <c r="BJ14" s="14"/>
      <c r="BK14" s="14"/>
      <c r="BL14" s="14"/>
      <c r="BN14" s="13" t="s">
        <v>194</v>
      </c>
    </row>
    <row r="15" spans="2:73" x14ac:dyDescent="0.3">
      <c r="B15" s="1" t="s">
        <v>175</v>
      </c>
      <c r="C15" s="15">
        <v>0.97698001999999995</v>
      </c>
      <c r="D15" s="14">
        <v>62216.71</v>
      </c>
      <c r="E15" s="15">
        <v>0.98182789999999998</v>
      </c>
      <c r="F15" s="14">
        <v>55278.55</v>
      </c>
      <c r="G15" s="1" t="str">
        <f t="shared" si="1"/>
        <v>GGM</v>
      </c>
      <c r="I15" s="1" t="s">
        <v>176</v>
      </c>
      <c r="J15" s="12">
        <v>0.99999769999999999</v>
      </c>
      <c r="K15" s="14">
        <v>55078.919900000001</v>
      </c>
      <c r="L15" s="14">
        <f t="shared" si="2"/>
        <v>-4022279.7900999999</v>
      </c>
      <c r="N15" s="1" t="s">
        <v>176</v>
      </c>
      <c r="O15" s="12">
        <v>0.29647899999999999</v>
      </c>
      <c r="P15" s="14">
        <v>30580360</v>
      </c>
      <c r="R15" s="1" t="s">
        <v>176</v>
      </c>
      <c r="S15" s="12">
        <v>0.833893</v>
      </c>
      <c r="T15" s="14">
        <v>14859300</v>
      </c>
      <c r="V15" s="1" t="s">
        <v>176</v>
      </c>
      <c r="W15" s="31">
        <v>0.99999800000000005</v>
      </c>
      <c r="X15" s="14">
        <v>47866.562242</v>
      </c>
      <c r="Z15" s="1" t="s">
        <v>176</v>
      </c>
      <c r="AA15" s="31">
        <v>0.99987199999999998</v>
      </c>
      <c r="AB15" s="14">
        <v>412581.51297400001</v>
      </c>
      <c r="AD15" s="1" t="s">
        <v>176</v>
      </c>
      <c r="AE15" s="14">
        <f t="shared" si="3"/>
        <v>30580360</v>
      </c>
      <c r="AF15" s="14">
        <f t="shared" si="4"/>
        <v>14859300</v>
      </c>
      <c r="AG15" s="14">
        <f t="shared" si="5"/>
        <v>35497296.340000004</v>
      </c>
      <c r="AH15" s="14">
        <f t="shared" si="6"/>
        <v>4077358.71</v>
      </c>
      <c r="AI15" s="14">
        <f t="shared" si="7"/>
        <v>47866.562242</v>
      </c>
      <c r="AJ15" s="14">
        <f t="shared" si="0"/>
        <v>55078.919900000001</v>
      </c>
      <c r="AK15" s="14">
        <f t="shared" si="8"/>
        <v>412581.51297400001</v>
      </c>
      <c r="AX15" s="14"/>
      <c r="AY15" s="14"/>
      <c r="AZ15" s="14"/>
      <c r="BB15" s="14"/>
      <c r="BC15" s="14"/>
      <c r="BD15" s="14"/>
      <c r="BF15" s="14"/>
      <c r="BG15" s="14"/>
      <c r="BH15" s="14"/>
      <c r="BJ15" s="14"/>
      <c r="BK15" s="14"/>
      <c r="BL15" s="14"/>
    </row>
    <row r="16" spans="2:73" x14ac:dyDescent="0.3">
      <c r="B16" s="6" t="s">
        <v>176</v>
      </c>
      <c r="C16" s="16">
        <v>5.2056409999999997E-2</v>
      </c>
      <c r="D16" s="17">
        <v>35497296.340000004</v>
      </c>
      <c r="E16" s="16">
        <v>0.98749310000000001</v>
      </c>
      <c r="F16" s="17">
        <v>4077358.71</v>
      </c>
      <c r="G16" s="6" t="str">
        <f t="shared" si="1"/>
        <v>GGM</v>
      </c>
      <c r="I16" s="6" t="s">
        <v>175</v>
      </c>
      <c r="J16" s="18">
        <v>0.98195189999999999</v>
      </c>
      <c r="K16" s="17">
        <v>55089.632700000002</v>
      </c>
      <c r="L16" s="17">
        <f t="shared" si="2"/>
        <v>-188.91730000000098</v>
      </c>
      <c r="N16" s="6" t="s">
        <v>175</v>
      </c>
      <c r="O16" s="18">
        <v>0.52243200000000001</v>
      </c>
      <c r="P16" s="17">
        <v>283382.09999999998</v>
      </c>
      <c r="R16" s="6" t="s">
        <v>175</v>
      </c>
      <c r="S16" s="18">
        <v>0.96743000000000001</v>
      </c>
      <c r="T16" s="17">
        <v>73683.27</v>
      </c>
      <c r="V16" s="6" t="s">
        <v>175</v>
      </c>
      <c r="W16" s="32">
        <v>0.999996</v>
      </c>
      <c r="X16" s="17">
        <v>829.90016600000001</v>
      </c>
      <c r="Z16" s="6" t="s">
        <v>175</v>
      </c>
      <c r="AA16" s="32">
        <v>0.99970099999999995</v>
      </c>
      <c r="AB16" s="17">
        <v>7087.1279500000001</v>
      </c>
      <c r="AD16" s="6" t="s">
        <v>175</v>
      </c>
      <c r="AE16" s="14">
        <f t="shared" si="3"/>
        <v>283382.09999999998</v>
      </c>
      <c r="AF16" s="14">
        <f t="shared" si="4"/>
        <v>73683.27</v>
      </c>
      <c r="AG16" s="14">
        <f t="shared" si="5"/>
        <v>62216.71</v>
      </c>
      <c r="AH16" s="14">
        <f t="shared" si="6"/>
        <v>55278.55</v>
      </c>
      <c r="AI16" s="14">
        <f t="shared" si="7"/>
        <v>829.90016600000001</v>
      </c>
      <c r="AJ16" s="14">
        <f t="shared" si="0"/>
        <v>55089.632700000002</v>
      </c>
      <c r="AK16" s="14">
        <f t="shared" si="8"/>
        <v>7087.1279500000001</v>
      </c>
      <c r="AX16" s="14"/>
      <c r="AY16" s="14"/>
      <c r="AZ16" s="14"/>
      <c r="BB16" s="14"/>
      <c r="BC16" s="14"/>
      <c r="BD16" s="14"/>
      <c r="BF16" s="14"/>
      <c r="BG16" s="14"/>
      <c r="BH16" s="14"/>
      <c r="BJ16" s="14"/>
      <c r="BK16" s="14"/>
      <c r="BL16" s="14"/>
      <c r="BN16" s="9" t="s">
        <v>191</v>
      </c>
      <c r="BO16" s="9" t="str">
        <f>+BO6</f>
        <v>SIR</v>
      </c>
      <c r="BP16" s="9" t="str">
        <f t="shared" ref="BP16:BU16" si="13">+BP6</f>
        <v>SEIR</v>
      </c>
      <c r="BQ16" s="9" t="str">
        <f t="shared" si="13"/>
        <v>BM</v>
      </c>
      <c r="BR16" s="9" t="str">
        <f t="shared" si="13"/>
        <v>GGM</v>
      </c>
      <c r="BS16" s="9" t="str">
        <f t="shared" si="13"/>
        <v>ARIMA</v>
      </c>
      <c r="BT16" s="9" t="str">
        <f t="shared" si="13"/>
        <v>GGM+Refinement</v>
      </c>
      <c r="BU16" s="9" t="str">
        <f t="shared" si="13"/>
        <v>Prophet</v>
      </c>
    </row>
    <row r="17" spans="2:73" x14ac:dyDescent="0.3">
      <c r="BJ17" s="14"/>
      <c r="BK17" s="14"/>
      <c r="BL17" s="14"/>
      <c r="BN17" s="1" t="s">
        <v>192</v>
      </c>
      <c r="BO17" s="12">
        <f>+_xlfn.XLOOKUP($BN17,$AX$7:$AX$9,$AY$7:$AY$9)</f>
        <v>0.98572300000000002</v>
      </c>
      <c r="BP17" s="12">
        <f>+_xlfn.XLOOKUP(BN17,$BB$7:$BB$9,$BC$7:$BC$9)</f>
        <v>0.99224599999999996</v>
      </c>
      <c r="BQ17" s="12">
        <f>+AQ7</f>
        <v>-0.25174930000000001</v>
      </c>
      <c r="BR17" s="12">
        <f>+AQ8</f>
        <v>0.99300429999999995</v>
      </c>
      <c r="BS17" s="12"/>
      <c r="BT17" s="12">
        <f>+AU7</f>
        <v>0.99999979999999999</v>
      </c>
      <c r="BU17" s="12"/>
    </row>
    <row r="18" spans="2:73" x14ac:dyDescent="0.3">
      <c r="BJ18" s="14"/>
      <c r="BK18" s="14"/>
      <c r="BL18" s="14"/>
      <c r="BN18" s="6" t="s">
        <v>193</v>
      </c>
      <c r="BO18" s="18">
        <f>+_xlfn.XLOOKUP($BN18,$AX$7:$AX$9,$AY$7:$AY$9)</f>
        <v>0.94224399999999997</v>
      </c>
      <c r="BP18" s="18">
        <f t="shared" ref="BP18:BP19" si="14">+_xlfn.XLOOKUP(BN18,$BB$7:$BB$9,$BC$7:$BC$9)</f>
        <v>0.91772100000000001</v>
      </c>
      <c r="BQ18" s="18">
        <f>+AQ9</f>
        <v>0.99683809999999995</v>
      </c>
      <c r="BR18" s="18">
        <f>+AQ10</f>
        <v>0.9985077</v>
      </c>
      <c r="BS18" s="18"/>
      <c r="BT18" s="18">
        <f>+AU8</f>
        <v>0.99997420000000004</v>
      </c>
      <c r="BU18" s="18"/>
    </row>
    <row r="19" spans="2:73" ht="16.8" x14ac:dyDescent="0.3">
      <c r="B19" s="13" t="s">
        <v>179</v>
      </c>
      <c r="I19" s="13" t="s">
        <v>179</v>
      </c>
      <c r="N19" s="13" t="s">
        <v>179</v>
      </c>
      <c r="R19" s="13" t="s">
        <v>179</v>
      </c>
      <c r="T19" s="21"/>
      <c r="V19" s="13" t="s">
        <v>179</v>
      </c>
      <c r="Z19" s="13" t="s">
        <v>179</v>
      </c>
      <c r="AD19" s="13" t="s">
        <v>179</v>
      </c>
      <c r="AE19" s="13"/>
      <c r="AF19" s="13"/>
      <c r="BJ19" s="14"/>
      <c r="BK19" s="14"/>
      <c r="BL19" s="14"/>
      <c r="BN19" s="1" t="s">
        <v>197</v>
      </c>
      <c r="BO19" s="12">
        <f>+_xlfn.XLOOKUP($BN19,$AX$7:$AX$9,$AY$7:$AY$9)</f>
        <v>0.98843700000000001</v>
      </c>
      <c r="BP19" s="12">
        <f t="shared" si="14"/>
        <v>0.97706400000000004</v>
      </c>
      <c r="BQ19" s="12">
        <f>+AQ11</f>
        <v>0.99021340000000002</v>
      </c>
      <c r="BR19" s="12">
        <f>+AQ12</f>
        <v>0.99795840000000002</v>
      </c>
      <c r="BS19" s="12"/>
      <c r="BT19" s="12">
        <f>+AU9</f>
        <v>0.9999806</v>
      </c>
      <c r="BU19" s="12"/>
    </row>
    <row r="20" spans="2:73" ht="16.8" x14ac:dyDescent="0.3">
      <c r="T20" s="21"/>
      <c r="BJ20" s="14"/>
      <c r="BK20" s="14"/>
      <c r="BL20" s="14"/>
      <c r="BN20" s="6" t="s">
        <v>283</v>
      </c>
      <c r="BO20" s="18"/>
      <c r="BP20" s="18"/>
      <c r="BQ20" s="18"/>
      <c r="BR20" s="18"/>
      <c r="BS20" s="18"/>
      <c r="BT20" s="18"/>
      <c r="BU20" s="18"/>
    </row>
    <row r="21" spans="2:73" x14ac:dyDescent="0.3">
      <c r="B21" s="9" t="s">
        <v>162</v>
      </c>
      <c r="C21" s="9" t="s">
        <v>163</v>
      </c>
      <c r="D21" s="9" t="s">
        <v>164</v>
      </c>
      <c r="E21" s="9" t="s">
        <v>165</v>
      </c>
      <c r="F21" s="9" t="s">
        <v>166</v>
      </c>
      <c r="G21" s="9" t="s">
        <v>178</v>
      </c>
      <c r="I21" s="9" t="s">
        <v>162</v>
      </c>
      <c r="J21" s="9" t="s">
        <v>183</v>
      </c>
      <c r="K21" s="9" t="s">
        <v>184</v>
      </c>
      <c r="L21" s="9" t="s">
        <v>186</v>
      </c>
      <c r="N21" s="9" t="s">
        <v>162</v>
      </c>
      <c r="O21" s="9" t="s">
        <v>183</v>
      </c>
      <c r="P21" s="9" t="s">
        <v>184</v>
      </c>
      <c r="R21" s="9" t="s">
        <v>162</v>
      </c>
      <c r="S21" s="9" t="s">
        <v>183</v>
      </c>
      <c r="T21" s="9" t="s">
        <v>184</v>
      </c>
      <c r="V21" s="9" t="s">
        <v>162</v>
      </c>
      <c r="W21" s="9" t="s">
        <v>183</v>
      </c>
      <c r="X21" s="9" t="s">
        <v>184</v>
      </c>
      <c r="Z21" s="9" t="s">
        <v>162</v>
      </c>
      <c r="AA21" s="9" t="s">
        <v>183</v>
      </c>
      <c r="AB21" s="9" t="s">
        <v>184</v>
      </c>
      <c r="AD21" s="9" t="s">
        <v>162</v>
      </c>
      <c r="AE21" s="9" t="s">
        <v>135</v>
      </c>
      <c r="AF21" s="9" t="s">
        <v>136</v>
      </c>
      <c r="AG21" s="9" t="s">
        <v>189</v>
      </c>
      <c r="AH21" s="9" t="s">
        <v>33</v>
      </c>
      <c r="AI21" s="9" t="s">
        <v>239</v>
      </c>
      <c r="AJ21" s="9" t="s">
        <v>190</v>
      </c>
      <c r="AK21" s="9" t="s">
        <v>268</v>
      </c>
      <c r="BJ21" s="14"/>
      <c r="BK21" s="14"/>
      <c r="BL21" s="14"/>
    </row>
    <row r="22" spans="2:73" x14ac:dyDescent="0.3">
      <c r="B22" s="1" t="s">
        <v>167</v>
      </c>
      <c r="C22" s="15">
        <v>0.99309789999999998</v>
      </c>
      <c r="D22" s="14">
        <v>1072993.76</v>
      </c>
      <c r="E22" s="15">
        <v>0.99536570000000002</v>
      </c>
      <c r="F22" s="14">
        <v>879227.23</v>
      </c>
      <c r="G22" s="1" t="str">
        <f>+IF(F22&lt;D22,"GGM","BM")</f>
        <v>GGM</v>
      </c>
      <c r="I22" s="1" t="s">
        <v>167</v>
      </c>
      <c r="J22" s="12">
        <v>0.99997320000000001</v>
      </c>
      <c r="K22" s="14">
        <v>66881.517999999996</v>
      </c>
      <c r="L22" s="14">
        <f>+K22-_xlfn.XLOOKUP(I22,B$22:B$31,F$22:F$31)</f>
        <v>-812345.71199999994</v>
      </c>
      <c r="N22" s="1" t="s">
        <v>167</v>
      </c>
      <c r="O22" s="12">
        <v>0.82512600000000003</v>
      </c>
      <c r="P22" s="14">
        <v>5285818</v>
      </c>
      <c r="R22" s="1" t="s">
        <v>167</v>
      </c>
      <c r="S22" s="12">
        <v>0.64468300000000001</v>
      </c>
      <c r="T22" s="14">
        <v>7558374</v>
      </c>
      <c r="V22" s="1" t="s">
        <v>167</v>
      </c>
      <c r="W22" s="31">
        <v>0.99996799999999997</v>
      </c>
      <c r="X22" s="14">
        <v>72886.599426000001</v>
      </c>
      <c r="Z22" s="1" t="s">
        <v>167</v>
      </c>
      <c r="AA22" s="31">
        <v>0.998919</v>
      </c>
      <c r="AB22" s="14">
        <v>424624.7</v>
      </c>
      <c r="AD22" s="1" t="s">
        <v>167</v>
      </c>
      <c r="AE22" s="14">
        <f>+_xlfn.XLOOKUP($AD22,N$22:N$31,P$22:P$31)</f>
        <v>5285818</v>
      </c>
      <c r="AF22" s="14">
        <f>+_xlfn.XLOOKUP($AD22,R$22:R$31,T$22:T$31)</f>
        <v>7558374</v>
      </c>
      <c r="AG22" s="14">
        <f>+_xlfn.XLOOKUP($AD22,B$22:B$31,D$22:D$31)</f>
        <v>1072993.76</v>
      </c>
      <c r="AH22" s="14">
        <f>+_xlfn.XLOOKUP($AD22,B$22:B$31,F$22:F$31)</f>
        <v>879227.23</v>
      </c>
      <c r="AI22" s="14">
        <f>+_xlfn.XLOOKUP($AD22,V$22:V$31,X$22:X$31)</f>
        <v>72886.599426000001</v>
      </c>
      <c r="AJ22" s="14">
        <f>+_xlfn.XLOOKUP($AD22,I$22:I$31,K$22:K$31)</f>
        <v>66881.517999999996</v>
      </c>
      <c r="AK22" s="14">
        <f>+_xlfn.XLOOKUP(AD22,$Z$22:$Z$31,$AB$22:$AB$31)</f>
        <v>424624.7</v>
      </c>
    </row>
    <row r="23" spans="2:73" ht="16.8" x14ac:dyDescent="0.3">
      <c r="B23" s="6" t="s">
        <v>168</v>
      </c>
      <c r="C23" s="16">
        <v>0.98500410000000005</v>
      </c>
      <c r="D23" s="17">
        <v>215298.15</v>
      </c>
      <c r="E23" s="16">
        <v>0.98811400000000005</v>
      </c>
      <c r="F23" s="17">
        <v>191678.16</v>
      </c>
      <c r="G23" s="6" t="str">
        <f t="shared" ref="G23:G31" si="15">+IF(F23&lt;D23,"GGM","BM")</f>
        <v>GGM</v>
      </c>
      <c r="I23" s="6" t="s">
        <v>168</v>
      </c>
      <c r="J23" s="18">
        <v>0.99997939999999996</v>
      </c>
      <c r="K23" s="17">
        <v>7970.5929999999998</v>
      </c>
      <c r="L23" s="17">
        <f t="shared" ref="L23:L31" si="16">+K23-_xlfn.XLOOKUP(I23,B$22:B$31,F$22:F$31)</f>
        <v>-183707.56700000001</v>
      </c>
      <c r="N23" s="6" t="s">
        <v>168</v>
      </c>
      <c r="O23" s="18">
        <v>0.85929699999999998</v>
      </c>
      <c r="P23" s="17">
        <v>655919.19999999995</v>
      </c>
      <c r="R23" s="6" t="s">
        <v>168</v>
      </c>
      <c r="S23" s="18">
        <v>0.86842799999999998</v>
      </c>
      <c r="T23" s="17">
        <v>634278.5</v>
      </c>
      <c r="V23" s="6" t="s">
        <v>168</v>
      </c>
      <c r="W23" s="32">
        <v>0.999977</v>
      </c>
      <c r="X23" s="17">
        <v>8395.1301469999999</v>
      </c>
      <c r="Z23" s="6" t="s">
        <v>168</v>
      </c>
      <c r="AA23" s="32">
        <v>0.99666699999999997</v>
      </c>
      <c r="AB23" s="17">
        <v>101494.2</v>
      </c>
      <c r="AD23" s="6" t="s">
        <v>168</v>
      </c>
      <c r="AE23" s="14">
        <f t="shared" ref="AE23:AE31" si="17">+_xlfn.XLOOKUP($AD23,N$22:N$31,P$22:P$31)</f>
        <v>655919.19999999995</v>
      </c>
      <c r="AF23" s="14">
        <f t="shared" ref="AF23:AF31" si="18">+_xlfn.XLOOKUP($AD23,R$22:R$31,T$22:T$31)</f>
        <v>634278.5</v>
      </c>
      <c r="AG23" s="14">
        <f t="shared" ref="AG23:AG31" si="19">+_xlfn.XLOOKUP($AD23,B$22:B$31,D$22:D$31)</f>
        <v>215298.15</v>
      </c>
      <c r="AH23" s="14">
        <f t="shared" ref="AH23:AH31" si="20">+_xlfn.XLOOKUP($AD23,B$22:B$31,F$22:F$31)</f>
        <v>191678.16</v>
      </c>
      <c r="AI23" s="14">
        <f t="shared" ref="AI23:AI31" si="21">+_xlfn.XLOOKUP($AD23,V$22:V$31,X$22:X$31)</f>
        <v>8395.1301469999999</v>
      </c>
      <c r="AJ23" s="14">
        <f t="shared" ref="AJ23:AJ31" si="22">+_xlfn.XLOOKUP($AD23,I$22:I$31,K$22:K$31)</f>
        <v>7970.5929999999998</v>
      </c>
      <c r="AK23" s="14">
        <f t="shared" ref="AK23:AK31" si="23">+_xlfn.XLOOKUP(AD23,$Z$22:$Z$31,$AB$22:$AB$31)</f>
        <v>101494.2</v>
      </c>
      <c r="AX23" s="27"/>
      <c r="AY23" s="27"/>
      <c r="AZ23" s="27"/>
      <c r="BB23" s="27"/>
      <c r="BC23" s="27"/>
      <c r="BD23" s="27"/>
      <c r="BF23" s="27"/>
      <c r="BG23" s="27"/>
      <c r="BH23" s="27"/>
      <c r="BJ23" s="27"/>
      <c r="BK23" s="27"/>
      <c r="BL23" s="27"/>
    </row>
    <row r="24" spans="2:73" ht="16.8" x14ac:dyDescent="0.3">
      <c r="B24" s="1" t="s">
        <v>169</v>
      </c>
      <c r="C24" s="15">
        <v>0.99486560000000002</v>
      </c>
      <c r="D24" s="14">
        <v>176803.48</v>
      </c>
      <c r="E24" s="15">
        <v>0.99525220000000003</v>
      </c>
      <c r="F24" s="14">
        <v>170016.12</v>
      </c>
      <c r="G24" s="1" t="str">
        <f t="shared" si="15"/>
        <v>GGM</v>
      </c>
      <c r="I24" s="1" t="s">
        <v>169</v>
      </c>
      <c r="J24" s="12">
        <v>0.9999827</v>
      </c>
      <c r="K24" s="14">
        <v>10259.941000000001</v>
      </c>
      <c r="L24" s="14">
        <f t="shared" si="16"/>
        <v>-159756.179</v>
      </c>
      <c r="N24" s="1" t="s">
        <v>169</v>
      </c>
      <c r="O24" s="12">
        <v>0.91229700000000002</v>
      </c>
      <c r="P24" s="14">
        <v>711743.3</v>
      </c>
      <c r="R24" s="1" t="s">
        <v>169</v>
      </c>
      <c r="S24" s="12">
        <v>0.43064400000000003</v>
      </c>
      <c r="T24" s="14">
        <v>1813809</v>
      </c>
      <c r="V24" s="1" t="s">
        <v>169</v>
      </c>
      <c r="W24" s="31">
        <v>0.99997899999999995</v>
      </c>
      <c r="X24" s="14">
        <v>11331.678796</v>
      </c>
      <c r="Z24" s="1" t="s">
        <v>169</v>
      </c>
      <c r="AA24" s="31">
        <v>0.99987199999999998</v>
      </c>
      <c r="AB24" s="14">
        <v>27934.33</v>
      </c>
      <c r="AD24" s="1" t="s">
        <v>169</v>
      </c>
      <c r="AE24" s="14">
        <f t="shared" si="17"/>
        <v>711743.3</v>
      </c>
      <c r="AF24" s="14">
        <f t="shared" si="18"/>
        <v>1813809</v>
      </c>
      <c r="AG24" s="14">
        <f t="shared" si="19"/>
        <v>176803.48</v>
      </c>
      <c r="AH24" s="14">
        <f t="shared" si="20"/>
        <v>170016.12</v>
      </c>
      <c r="AI24" s="14">
        <f t="shared" si="21"/>
        <v>11331.678796</v>
      </c>
      <c r="AJ24" s="14">
        <f t="shared" si="22"/>
        <v>10259.941000000001</v>
      </c>
      <c r="AK24" s="14">
        <f t="shared" si="23"/>
        <v>27934.33</v>
      </c>
      <c r="AX24" s="27"/>
      <c r="AY24" s="28"/>
      <c r="AZ24" s="28"/>
      <c r="BB24" s="28"/>
      <c r="BC24" s="28"/>
      <c r="BD24" s="28"/>
      <c r="BF24" s="28"/>
      <c r="BG24" s="28"/>
      <c r="BH24" s="28"/>
      <c r="BJ24" s="28"/>
      <c r="BK24" s="28"/>
      <c r="BL24" s="28"/>
    </row>
    <row r="25" spans="2:73" ht="16.8" x14ac:dyDescent="0.3">
      <c r="B25" s="6" t="s">
        <v>187</v>
      </c>
      <c r="C25" s="16">
        <v>0.98980849999999998</v>
      </c>
      <c r="D25" s="17">
        <v>23695.26</v>
      </c>
      <c r="E25" s="16">
        <v>0.99255309999999997</v>
      </c>
      <c r="F25" s="17">
        <v>20254.93</v>
      </c>
      <c r="G25" s="6" t="str">
        <f t="shared" si="15"/>
        <v>GGM</v>
      </c>
      <c r="I25" s="6" t="s">
        <v>187</v>
      </c>
      <c r="J25" s="18">
        <v>0.99986940000000002</v>
      </c>
      <c r="K25" s="17">
        <v>2682.71</v>
      </c>
      <c r="L25" s="17">
        <f t="shared" si="16"/>
        <v>-17572.22</v>
      </c>
      <c r="N25" s="6" t="s">
        <v>187</v>
      </c>
      <c r="O25" s="18">
        <v>0.81773499999999999</v>
      </c>
      <c r="P25" s="17">
        <v>96842.15</v>
      </c>
      <c r="R25" s="6" t="s">
        <v>187</v>
      </c>
      <c r="S25" s="18">
        <v>-0.70466200000000001</v>
      </c>
      <c r="T25" s="17">
        <v>300031.3</v>
      </c>
      <c r="V25" s="6" t="s">
        <v>187</v>
      </c>
      <c r="W25" s="32">
        <v>0.99985199999999996</v>
      </c>
      <c r="X25" s="17">
        <v>2856.3407999999999</v>
      </c>
      <c r="Z25" s="6" t="s">
        <v>187</v>
      </c>
      <c r="AA25" s="32">
        <v>0.99764399999999998</v>
      </c>
      <c r="AB25" s="17">
        <v>11391.69</v>
      </c>
      <c r="AD25" s="6" t="s">
        <v>187</v>
      </c>
      <c r="AE25" s="14">
        <f t="shared" si="17"/>
        <v>96842.15</v>
      </c>
      <c r="AF25" s="14">
        <f t="shared" si="18"/>
        <v>300031.3</v>
      </c>
      <c r="AG25" s="14">
        <f t="shared" si="19"/>
        <v>23695.26</v>
      </c>
      <c r="AH25" s="14">
        <f t="shared" si="20"/>
        <v>20254.93</v>
      </c>
      <c r="AI25" s="14">
        <f t="shared" si="21"/>
        <v>2856.3407999999999</v>
      </c>
      <c r="AJ25" s="14">
        <f t="shared" si="22"/>
        <v>2682.71</v>
      </c>
      <c r="AK25" s="14">
        <f t="shared" si="23"/>
        <v>11391.69</v>
      </c>
      <c r="AX25" s="27"/>
      <c r="AY25" s="28"/>
      <c r="AZ25" s="28"/>
      <c r="BB25" s="28"/>
      <c r="BC25" s="28"/>
      <c r="BD25" s="28"/>
      <c r="BF25" s="28"/>
      <c r="BG25" s="28"/>
      <c r="BH25" s="28"/>
      <c r="BJ25" s="28"/>
      <c r="BK25" s="28"/>
      <c r="BL25" s="28"/>
    </row>
    <row r="26" spans="2:73" ht="16.8" x14ac:dyDescent="0.3">
      <c r="B26" s="1" t="s">
        <v>171</v>
      </c>
      <c r="C26" s="15">
        <v>0.99044909999999997</v>
      </c>
      <c r="D26" s="14">
        <v>1370516.61</v>
      </c>
      <c r="E26" s="15">
        <v>0.99179399999999995</v>
      </c>
      <c r="F26" s="14">
        <v>1270365.45</v>
      </c>
      <c r="G26" s="1" t="str">
        <f t="shared" si="15"/>
        <v>GGM</v>
      </c>
      <c r="I26" s="1" t="s">
        <v>171</v>
      </c>
      <c r="J26" s="12">
        <v>0.99998489999999995</v>
      </c>
      <c r="K26" s="14">
        <v>54571.813999999998</v>
      </c>
      <c r="L26" s="14">
        <f t="shared" si="16"/>
        <v>-1215793.6359999999</v>
      </c>
      <c r="N26" s="1" t="s">
        <v>171</v>
      </c>
      <c r="O26" s="12">
        <v>0.98488399999999998</v>
      </c>
      <c r="P26" s="14">
        <v>1726783</v>
      </c>
      <c r="R26" s="1" t="s">
        <v>171</v>
      </c>
      <c r="S26" s="12">
        <v>0.98622900000000002</v>
      </c>
      <c r="T26" s="14">
        <v>1646926</v>
      </c>
      <c r="V26" s="1" t="s">
        <v>171</v>
      </c>
      <c r="W26" s="31">
        <v>0.99998200000000004</v>
      </c>
      <c r="X26" s="14">
        <v>59096.011952000001</v>
      </c>
      <c r="Z26" s="1" t="s">
        <v>171</v>
      </c>
      <c r="AA26" s="31">
        <v>0.99986600000000003</v>
      </c>
      <c r="AB26" s="14">
        <v>162463.20000000001</v>
      </c>
      <c r="AD26" s="1" t="s">
        <v>171</v>
      </c>
      <c r="AE26" s="14">
        <f t="shared" si="17"/>
        <v>1726783</v>
      </c>
      <c r="AF26" s="14">
        <f t="shared" si="18"/>
        <v>1646926</v>
      </c>
      <c r="AG26" s="14">
        <f t="shared" si="19"/>
        <v>1370516.61</v>
      </c>
      <c r="AH26" s="14">
        <f t="shared" si="20"/>
        <v>1270365.45</v>
      </c>
      <c r="AI26" s="14">
        <f t="shared" si="21"/>
        <v>59096.011952000001</v>
      </c>
      <c r="AJ26" s="14">
        <f t="shared" si="22"/>
        <v>54571.813999999998</v>
      </c>
      <c r="AK26" s="14">
        <f t="shared" si="23"/>
        <v>162463.20000000001</v>
      </c>
      <c r="AX26" s="27"/>
      <c r="AY26" s="28"/>
      <c r="AZ26" s="28"/>
      <c r="BB26" s="28"/>
      <c r="BC26" s="28"/>
      <c r="BD26" s="28"/>
      <c r="BF26" s="28"/>
      <c r="BG26" s="28"/>
      <c r="BH26" s="28"/>
      <c r="BJ26" s="28"/>
      <c r="BK26" s="28"/>
      <c r="BL26" s="28"/>
    </row>
    <row r="27" spans="2:73" x14ac:dyDescent="0.3">
      <c r="B27" s="6" t="s">
        <v>172</v>
      </c>
      <c r="C27" s="16">
        <v>0.98537799999999998</v>
      </c>
      <c r="D27" s="17">
        <v>1102885.5</v>
      </c>
      <c r="E27" s="16">
        <v>0.98886949999999996</v>
      </c>
      <c r="F27" s="17">
        <v>962242.14</v>
      </c>
      <c r="G27" s="6" t="str">
        <f t="shared" si="15"/>
        <v>GGM</v>
      </c>
      <c r="I27" s="6" t="s">
        <v>172</v>
      </c>
      <c r="J27" s="18">
        <v>0.99998299999999996</v>
      </c>
      <c r="K27" s="17">
        <v>37554.368000000002</v>
      </c>
      <c r="L27" s="17">
        <f t="shared" si="16"/>
        <v>-924687.772</v>
      </c>
      <c r="N27" s="6" t="s">
        <v>172</v>
      </c>
      <c r="O27" s="18">
        <v>0.94516</v>
      </c>
      <c r="P27" s="17">
        <v>2120841</v>
      </c>
      <c r="R27" s="6" t="s">
        <v>172</v>
      </c>
      <c r="S27" s="18">
        <v>0.94915899999999997</v>
      </c>
      <c r="T27" s="17">
        <v>2056768</v>
      </c>
      <c r="V27" s="6" t="s">
        <v>172</v>
      </c>
      <c r="W27" s="32">
        <v>0.99997999999999998</v>
      </c>
      <c r="X27" s="17">
        <v>40276.492481000001</v>
      </c>
      <c r="Z27" s="6" t="s">
        <v>172</v>
      </c>
      <c r="AA27" s="32">
        <v>0.99753099999999995</v>
      </c>
      <c r="AB27" s="17">
        <v>453190.5</v>
      </c>
      <c r="AD27" s="6" t="s">
        <v>172</v>
      </c>
      <c r="AE27" s="14">
        <f t="shared" si="17"/>
        <v>2120841</v>
      </c>
      <c r="AF27" s="14">
        <f t="shared" si="18"/>
        <v>2056768</v>
      </c>
      <c r="AG27" s="14">
        <f t="shared" si="19"/>
        <v>1102885.5</v>
      </c>
      <c r="AH27" s="14">
        <f t="shared" si="20"/>
        <v>962242.14</v>
      </c>
      <c r="AI27" s="14">
        <f t="shared" si="21"/>
        <v>40276.492481000001</v>
      </c>
      <c r="AJ27" s="14">
        <f t="shared" si="22"/>
        <v>37554.368000000002</v>
      </c>
      <c r="AK27" s="14">
        <f t="shared" si="23"/>
        <v>453190.5</v>
      </c>
    </row>
    <row r="28" spans="2:73" x14ac:dyDescent="0.3">
      <c r="B28" s="1" t="s">
        <v>173</v>
      </c>
      <c r="C28" s="15">
        <v>0.99328240000000001</v>
      </c>
      <c r="D28" s="14">
        <v>212970.27</v>
      </c>
      <c r="E28" s="15">
        <v>0.99533090000000002</v>
      </c>
      <c r="F28" s="14">
        <v>177553.42</v>
      </c>
      <c r="G28" s="1" t="str">
        <f t="shared" si="15"/>
        <v>GGM</v>
      </c>
      <c r="I28" s="1" t="s">
        <v>173</v>
      </c>
      <c r="J28" s="12">
        <v>0.99995199999999995</v>
      </c>
      <c r="K28" s="14">
        <v>18001.951000000001</v>
      </c>
      <c r="L28" s="14">
        <f t="shared" si="16"/>
        <v>-159551.46900000001</v>
      </c>
      <c r="N28" s="1" t="s">
        <v>173</v>
      </c>
      <c r="O28" s="12">
        <v>0.84834900000000002</v>
      </c>
      <c r="P28" s="14">
        <v>999266.5</v>
      </c>
      <c r="R28" s="1" t="s">
        <v>173</v>
      </c>
      <c r="S28" s="12">
        <v>-0.34762500000000002</v>
      </c>
      <c r="T28" s="14">
        <v>2976087</v>
      </c>
      <c r="V28" s="1" t="s">
        <v>173</v>
      </c>
      <c r="W28" s="31">
        <v>0.99994000000000005</v>
      </c>
      <c r="X28" s="14">
        <v>20204.683582000001</v>
      </c>
      <c r="Z28" s="1" t="s">
        <v>173</v>
      </c>
      <c r="AA28" s="31">
        <v>0.99860599999999999</v>
      </c>
      <c r="AB28" s="14">
        <v>97029.98</v>
      </c>
      <c r="AD28" s="1" t="s">
        <v>173</v>
      </c>
      <c r="AE28" s="14">
        <f t="shared" si="17"/>
        <v>999266.5</v>
      </c>
      <c r="AF28" s="14">
        <f t="shared" si="18"/>
        <v>2976087</v>
      </c>
      <c r="AG28" s="14">
        <f t="shared" si="19"/>
        <v>212970.27</v>
      </c>
      <c r="AH28" s="14">
        <f t="shared" si="20"/>
        <v>177553.42</v>
      </c>
      <c r="AI28" s="14">
        <f t="shared" si="21"/>
        <v>20204.683582000001</v>
      </c>
      <c r="AJ28" s="14">
        <f t="shared" si="22"/>
        <v>18001.951000000001</v>
      </c>
      <c r="AK28" s="14">
        <f t="shared" si="23"/>
        <v>97029.98</v>
      </c>
    </row>
    <row r="29" spans="2:73" x14ac:dyDescent="0.3">
      <c r="B29" s="6" t="s">
        <v>174</v>
      </c>
      <c r="C29" s="16">
        <v>0.98214460000000003</v>
      </c>
      <c r="D29" s="17">
        <v>47981.11</v>
      </c>
      <c r="E29" s="16">
        <v>0.98652019999999996</v>
      </c>
      <c r="F29" s="17">
        <v>41689.589999999997</v>
      </c>
      <c r="G29" s="6" t="str">
        <f t="shared" si="15"/>
        <v>GGM</v>
      </c>
      <c r="I29" s="6" t="s">
        <v>174</v>
      </c>
      <c r="J29" s="18">
        <v>0.9999439</v>
      </c>
      <c r="K29" s="17">
        <v>2688.72</v>
      </c>
      <c r="L29" s="17">
        <f t="shared" si="16"/>
        <v>-39000.869999999995</v>
      </c>
      <c r="N29" s="6" t="s">
        <v>174</v>
      </c>
      <c r="O29" s="18">
        <v>0.83975299999999997</v>
      </c>
      <c r="P29" s="17">
        <v>140633.70000000001</v>
      </c>
      <c r="R29" s="6" t="s">
        <v>174</v>
      </c>
      <c r="S29" s="18">
        <v>0.86644399999999999</v>
      </c>
      <c r="T29" s="17">
        <v>128388.6</v>
      </c>
      <c r="V29" s="6" t="s">
        <v>174</v>
      </c>
      <c r="W29" s="32">
        <v>0.99993799999999999</v>
      </c>
      <c r="X29" s="17">
        <v>2835.1556179999998</v>
      </c>
      <c r="Z29" s="6" t="s">
        <v>174</v>
      </c>
      <c r="AA29" s="32">
        <v>0.99784799999999996</v>
      </c>
      <c r="AB29" s="17">
        <v>16657.2</v>
      </c>
      <c r="AD29" s="6" t="s">
        <v>174</v>
      </c>
      <c r="AE29" s="14">
        <f t="shared" si="17"/>
        <v>140633.70000000001</v>
      </c>
      <c r="AF29" s="14">
        <f t="shared" si="18"/>
        <v>128388.6</v>
      </c>
      <c r="AG29" s="14">
        <f t="shared" si="19"/>
        <v>47981.11</v>
      </c>
      <c r="AH29" s="14">
        <f t="shared" si="20"/>
        <v>41689.589999999997</v>
      </c>
      <c r="AI29" s="14">
        <f t="shared" si="21"/>
        <v>2835.1556179999998</v>
      </c>
      <c r="AJ29" s="14">
        <f t="shared" si="22"/>
        <v>2688.72</v>
      </c>
      <c r="AK29" s="14">
        <f t="shared" si="23"/>
        <v>16657.2</v>
      </c>
    </row>
    <row r="30" spans="2:73" x14ac:dyDescent="0.3">
      <c r="B30" s="1" t="s">
        <v>175</v>
      </c>
      <c r="C30" s="15">
        <v>0.97719889999999998</v>
      </c>
      <c r="D30" s="14">
        <v>62031.38</v>
      </c>
      <c r="E30" s="15">
        <v>0.98200609999999999</v>
      </c>
      <c r="F30" s="14">
        <v>55105.7</v>
      </c>
      <c r="G30" s="1" t="str">
        <f t="shared" si="15"/>
        <v>GGM</v>
      </c>
      <c r="I30" s="1" t="s">
        <v>176</v>
      </c>
      <c r="J30" s="12">
        <v>0.99001130000000004</v>
      </c>
      <c r="K30" s="14">
        <v>3653520.236</v>
      </c>
      <c r="L30" s="14">
        <f t="shared" si="16"/>
        <v>-4.0000001899898052E-3</v>
      </c>
      <c r="N30" s="1" t="s">
        <v>176</v>
      </c>
      <c r="O30" s="12">
        <v>0.83721299999999998</v>
      </c>
      <c r="P30" s="14">
        <v>14749160</v>
      </c>
      <c r="R30" s="1" t="s">
        <v>176</v>
      </c>
      <c r="S30" s="12">
        <v>0.84466699999999995</v>
      </c>
      <c r="T30" s="14">
        <v>14407510</v>
      </c>
      <c r="V30" s="1" t="s">
        <v>176</v>
      </c>
      <c r="W30" s="31">
        <v>0.999973</v>
      </c>
      <c r="X30" s="14">
        <v>189197.220477</v>
      </c>
      <c r="Z30" s="1" t="s">
        <v>176</v>
      </c>
      <c r="AA30" s="31">
        <v>0.99802000000000002</v>
      </c>
      <c r="AB30" s="14">
        <v>1626782</v>
      </c>
      <c r="AD30" s="1" t="s">
        <v>176</v>
      </c>
      <c r="AE30" s="14">
        <f t="shared" si="17"/>
        <v>14749160</v>
      </c>
      <c r="AF30" s="14">
        <f t="shared" si="18"/>
        <v>14407510</v>
      </c>
      <c r="AG30" s="14">
        <f t="shared" si="19"/>
        <v>4160546.94</v>
      </c>
      <c r="AH30" s="14">
        <f t="shared" si="20"/>
        <v>3653520.24</v>
      </c>
      <c r="AI30" s="14">
        <f t="shared" si="21"/>
        <v>189197.220477</v>
      </c>
      <c r="AJ30" s="14">
        <f t="shared" si="22"/>
        <v>3653520.236</v>
      </c>
      <c r="AK30" s="14">
        <f t="shared" si="23"/>
        <v>1626782</v>
      </c>
    </row>
    <row r="31" spans="2:73" x14ac:dyDescent="0.3">
      <c r="B31" s="6" t="s">
        <v>176</v>
      </c>
      <c r="C31" s="16">
        <v>0.98704650000000005</v>
      </c>
      <c r="D31" s="17">
        <v>4160546.94</v>
      </c>
      <c r="E31" s="16">
        <v>0.99001130000000004</v>
      </c>
      <c r="F31" s="17">
        <v>3653520.24</v>
      </c>
      <c r="G31" s="6" t="str">
        <f t="shared" si="15"/>
        <v>GGM</v>
      </c>
      <c r="I31" s="6" t="s">
        <v>175</v>
      </c>
      <c r="J31" s="18">
        <v>0.99996839999999998</v>
      </c>
      <c r="K31" s="17">
        <v>2309.4769999999999</v>
      </c>
      <c r="L31" s="17">
        <f t="shared" si="16"/>
        <v>-52796.222999999998</v>
      </c>
      <c r="N31" s="6" t="s">
        <v>175</v>
      </c>
      <c r="O31" s="18">
        <v>0.94254700000000002</v>
      </c>
      <c r="P31" s="17">
        <v>97667.94</v>
      </c>
      <c r="R31" s="6" t="s">
        <v>175</v>
      </c>
      <c r="S31" s="18">
        <v>0.95194400000000001</v>
      </c>
      <c r="T31" s="17">
        <v>89659.199999999997</v>
      </c>
      <c r="V31" s="6" t="s">
        <v>175</v>
      </c>
      <c r="W31" s="32">
        <v>0.99996499999999999</v>
      </c>
      <c r="X31" s="17">
        <v>2423.543439</v>
      </c>
      <c r="Z31" s="6" t="s">
        <v>175</v>
      </c>
      <c r="AA31" s="32">
        <v>0.98897800000000002</v>
      </c>
      <c r="AB31" s="17">
        <v>43128.99</v>
      </c>
      <c r="AD31" s="6" t="s">
        <v>175</v>
      </c>
      <c r="AE31" s="14">
        <f t="shared" si="17"/>
        <v>97667.94</v>
      </c>
      <c r="AF31" s="14">
        <f t="shared" si="18"/>
        <v>89659.199999999997</v>
      </c>
      <c r="AG31" s="14">
        <f t="shared" si="19"/>
        <v>62031.38</v>
      </c>
      <c r="AH31" s="14">
        <f t="shared" si="20"/>
        <v>55105.7</v>
      </c>
      <c r="AI31" s="14">
        <f t="shared" si="21"/>
        <v>2423.543439</v>
      </c>
      <c r="AJ31" s="14">
        <f t="shared" si="22"/>
        <v>2309.4769999999999</v>
      </c>
      <c r="AK31" s="14">
        <f t="shared" si="23"/>
        <v>43128.99</v>
      </c>
    </row>
    <row r="32" spans="2:73" ht="16.8" x14ac:dyDescent="0.3">
      <c r="AD32" s="22"/>
      <c r="AE32" s="22"/>
      <c r="AF32" s="22"/>
    </row>
    <row r="34" spans="2:24" x14ac:dyDescent="0.3">
      <c r="B34" s="13" t="s">
        <v>180</v>
      </c>
      <c r="I34" s="13" t="s">
        <v>180</v>
      </c>
      <c r="V34" s="13" t="s">
        <v>180</v>
      </c>
    </row>
    <row r="36" spans="2:24" x14ac:dyDescent="0.3">
      <c r="B36" s="9" t="s">
        <v>162</v>
      </c>
      <c r="C36" s="9" t="s">
        <v>163</v>
      </c>
      <c r="D36" s="9" t="s">
        <v>164</v>
      </c>
      <c r="E36" s="9" t="s">
        <v>165</v>
      </c>
      <c r="F36" s="9" t="s">
        <v>166</v>
      </c>
      <c r="G36" s="9" t="s">
        <v>178</v>
      </c>
      <c r="I36" s="9" t="s">
        <v>162</v>
      </c>
      <c r="J36" s="9" t="s">
        <v>183</v>
      </c>
      <c r="K36" s="9" t="s">
        <v>184</v>
      </c>
      <c r="L36" s="9" t="s">
        <v>186</v>
      </c>
      <c r="V36" s="9" t="s">
        <v>162</v>
      </c>
      <c r="W36" s="9" t="s">
        <v>183</v>
      </c>
      <c r="X36" s="9" t="s">
        <v>184</v>
      </c>
    </row>
    <row r="37" spans="2:24" x14ac:dyDescent="0.3">
      <c r="B37" s="1" t="s">
        <v>167</v>
      </c>
      <c r="C37" s="15">
        <v>0.99347419999999997</v>
      </c>
      <c r="D37" s="14">
        <v>1060839.43</v>
      </c>
      <c r="E37" s="15">
        <v>0.99565349999999997</v>
      </c>
      <c r="F37" s="14">
        <v>865766.25</v>
      </c>
      <c r="G37" s="1" t="str">
        <f>+IF(F37&lt;D37,"GGM","BM")</f>
        <v>GGM</v>
      </c>
      <c r="I37" s="1" t="s">
        <v>167</v>
      </c>
      <c r="J37" s="12">
        <v>0.99883089999999997</v>
      </c>
      <c r="K37" s="14">
        <v>449022.28</v>
      </c>
      <c r="L37" s="14">
        <f>+K37-_xlfn.XLOOKUP(I37,B$37:B$46,F$37:F$46)</f>
        <v>-416743.97</v>
      </c>
      <c r="V37" s="1" t="s">
        <v>167</v>
      </c>
      <c r="W37" s="31">
        <v>0.99801799999999996</v>
      </c>
      <c r="X37" s="14">
        <v>584602.6</v>
      </c>
    </row>
    <row r="38" spans="2:24" x14ac:dyDescent="0.3">
      <c r="B38" s="6" t="s">
        <v>168</v>
      </c>
      <c r="C38" s="16">
        <v>0.9861259</v>
      </c>
      <c r="D38" s="17">
        <v>212847.43</v>
      </c>
      <c r="E38" s="16">
        <v>0.98624369999999995</v>
      </c>
      <c r="F38" s="17">
        <v>211942.1</v>
      </c>
      <c r="G38" s="6" t="str">
        <f t="shared" ref="G38:G46" si="24">+IF(F38&lt;D38,"GGM","BM")</f>
        <v>GGM</v>
      </c>
      <c r="I38" s="6" t="s">
        <v>168</v>
      </c>
      <c r="J38" s="18">
        <v>0.99688900000000003</v>
      </c>
      <c r="K38" s="17">
        <v>100789.75999999999</v>
      </c>
      <c r="L38" s="17">
        <f t="shared" ref="L38:L46" si="25">+K38-_xlfn.XLOOKUP(I38,B$37:B$46,F$37:F$46)</f>
        <v>-111152.34000000001</v>
      </c>
      <c r="V38" s="6" t="s">
        <v>168</v>
      </c>
      <c r="W38" s="32">
        <v>0.99567000000000005</v>
      </c>
      <c r="X38" s="17">
        <v>118904.3</v>
      </c>
    </row>
    <row r="39" spans="2:24" x14ac:dyDescent="0.3">
      <c r="B39" s="1" t="s">
        <v>169</v>
      </c>
      <c r="C39" s="15">
        <v>0.99485219999999996</v>
      </c>
      <c r="D39" s="14">
        <v>178035.12</v>
      </c>
      <c r="E39" s="15">
        <v>0.99503900000000001</v>
      </c>
      <c r="F39" s="14">
        <v>174775.12</v>
      </c>
      <c r="G39" s="1" t="str">
        <f t="shared" si="24"/>
        <v>GGM</v>
      </c>
      <c r="I39" s="1" t="s">
        <v>169</v>
      </c>
      <c r="J39" s="12">
        <v>0.99764529999999996</v>
      </c>
      <c r="K39" s="14">
        <v>120410.38</v>
      </c>
      <c r="L39" s="14">
        <f t="shared" si="25"/>
        <v>-54364.739999999991</v>
      </c>
      <c r="V39" s="1" t="s">
        <v>169</v>
      </c>
      <c r="W39" s="31">
        <v>0.99534699999999998</v>
      </c>
      <c r="X39" s="14">
        <v>169254.2</v>
      </c>
    </row>
    <row r="40" spans="2:24" x14ac:dyDescent="0.3">
      <c r="B40" s="6" t="s">
        <v>170</v>
      </c>
      <c r="C40" s="16">
        <v>0.98931369999999996</v>
      </c>
      <c r="D40" s="17">
        <v>24574.67</v>
      </c>
      <c r="E40" s="16">
        <v>0.99061429999999995</v>
      </c>
      <c r="F40" s="17">
        <v>23030.65</v>
      </c>
      <c r="G40" s="6" t="str">
        <f t="shared" si="24"/>
        <v>GGM</v>
      </c>
      <c r="I40" s="6" t="s">
        <v>170</v>
      </c>
      <c r="J40" s="18">
        <v>0.99412920000000005</v>
      </c>
      <c r="K40" s="17">
        <v>18214.75</v>
      </c>
      <c r="L40" s="17">
        <f t="shared" si="25"/>
        <v>-4815.9000000000015</v>
      </c>
      <c r="V40" s="6" t="s">
        <v>187</v>
      </c>
      <c r="W40" s="32">
        <v>0.99124800000000002</v>
      </c>
      <c r="X40" s="17">
        <v>22240.09</v>
      </c>
    </row>
    <row r="41" spans="2:24" x14ac:dyDescent="0.3">
      <c r="B41" s="1" t="s">
        <v>171</v>
      </c>
      <c r="C41" s="15">
        <v>0.9914906</v>
      </c>
      <c r="D41" s="14">
        <v>1334828.55</v>
      </c>
      <c r="E41" s="15">
        <v>0.99270170000000002</v>
      </c>
      <c r="F41" s="14">
        <v>1236195.68</v>
      </c>
      <c r="G41" s="1" t="str">
        <f t="shared" si="24"/>
        <v>GGM</v>
      </c>
      <c r="I41" s="1" t="s">
        <v>171</v>
      </c>
      <c r="J41" s="12">
        <v>0.99875570000000002</v>
      </c>
      <c r="K41" s="14">
        <v>510440.15</v>
      </c>
      <c r="L41" s="14">
        <f t="shared" si="25"/>
        <v>-725755.52999999991</v>
      </c>
      <c r="V41" s="1" t="s">
        <v>171</v>
      </c>
      <c r="W41" s="31">
        <v>0.99727699999999997</v>
      </c>
      <c r="X41" s="14">
        <v>755112.7</v>
      </c>
    </row>
    <row r="42" spans="2:24" x14ac:dyDescent="0.3">
      <c r="B42" s="6" t="s">
        <v>172</v>
      </c>
      <c r="C42" s="16">
        <v>0.98630370000000001</v>
      </c>
      <c r="D42" s="17">
        <v>1098072.98</v>
      </c>
      <c r="E42" s="16">
        <v>0.98630390000000001</v>
      </c>
      <c r="F42" s="17">
        <v>1098061.48</v>
      </c>
      <c r="G42" s="6" t="str">
        <f t="shared" si="24"/>
        <v>GGM</v>
      </c>
      <c r="I42" s="6" t="s">
        <v>172</v>
      </c>
      <c r="J42" s="18">
        <v>0.9954769</v>
      </c>
      <c r="K42" s="17">
        <v>631028.31999999995</v>
      </c>
      <c r="L42" s="17">
        <f t="shared" si="25"/>
        <v>-467033.16000000003</v>
      </c>
      <c r="V42" s="6" t="s">
        <v>172</v>
      </c>
      <c r="W42" s="32">
        <v>0.99294800000000005</v>
      </c>
      <c r="X42" s="17">
        <v>787945.7</v>
      </c>
    </row>
    <row r="43" spans="2:24" x14ac:dyDescent="0.3">
      <c r="B43" s="1" t="s">
        <v>173</v>
      </c>
      <c r="C43" s="15">
        <v>0.99346559999999995</v>
      </c>
      <c r="D43" s="14">
        <v>214013.36</v>
      </c>
      <c r="E43" s="15">
        <v>0.99437059999999999</v>
      </c>
      <c r="F43" s="14">
        <v>198641.06</v>
      </c>
      <c r="G43" s="1" t="str">
        <f t="shared" si="24"/>
        <v>GGM</v>
      </c>
      <c r="I43" s="1" t="s">
        <v>173</v>
      </c>
      <c r="J43" s="12">
        <v>0.99769969999999997</v>
      </c>
      <c r="K43" s="14">
        <v>126978.78</v>
      </c>
      <c r="L43" s="14">
        <f t="shared" si="25"/>
        <v>-71662.28</v>
      </c>
      <c r="V43" s="1" t="s">
        <v>173</v>
      </c>
      <c r="W43" s="31">
        <v>0.99575800000000003</v>
      </c>
      <c r="X43" s="14">
        <v>172431</v>
      </c>
    </row>
    <row r="44" spans="2:24" x14ac:dyDescent="0.3">
      <c r="B44" s="6" t="s">
        <v>174</v>
      </c>
      <c r="C44" s="16">
        <v>0.98240799999999995</v>
      </c>
      <c r="D44" s="17">
        <v>48552.9</v>
      </c>
      <c r="E44" s="16">
        <v>0.98409519999999995</v>
      </c>
      <c r="F44" s="17">
        <v>46165.85</v>
      </c>
      <c r="G44" s="6" t="str">
        <f t="shared" si="24"/>
        <v>GGM</v>
      </c>
      <c r="I44" s="6" t="s">
        <v>174</v>
      </c>
      <c r="J44" s="18">
        <v>0.99363820000000003</v>
      </c>
      <c r="K44" s="17">
        <v>29197.63</v>
      </c>
      <c r="L44" s="17">
        <f t="shared" si="25"/>
        <v>-16968.219999999998</v>
      </c>
      <c r="V44" s="6" t="s">
        <v>174</v>
      </c>
      <c r="W44" s="32">
        <v>0.99148400000000003</v>
      </c>
      <c r="X44" s="17">
        <v>33780.839999999997</v>
      </c>
    </row>
    <row r="45" spans="2:24" x14ac:dyDescent="0.3">
      <c r="B45" s="1" t="s">
        <v>175</v>
      </c>
      <c r="C45" s="15">
        <v>0.97879510000000003</v>
      </c>
      <c r="D45" s="14">
        <v>60768.02</v>
      </c>
      <c r="E45" s="15">
        <v>0.98328910000000003</v>
      </c>
      <c r="F45" s="14">
        <v>53945.74</v>
      </c>
      <c r="G45" s="1" t="str">
        <f t="shared" si="24"/>
        <v>GGM</v>
      </c>
      <c r="I45" s="1" t="s">
        <v>176</v>
      </c>
      <c r="J45" s="12">
        <v>0.98804809999999998</v>
      </c>
      <c r="K45" s="14">
        <v>4077694.45</v>
      </c>
      <c r="L45" s="14">
        <f t="shared" si="25"/>
        <v>0</v>
      </c>
      <c r="V45" s="1" t="s">
        <v>176</v>
      </c>
      <c r="W45" s="31">
        <v>0.993228</v>
      </c>
      <c r="X45" s="14">
        <v>3069392</v>
      </c>
    </row>
    <row r="46" spans="2:24" x14ac:dyDescent="0.3">
      <c r="B46" s="6" t="s">
        <v>176</v>
      </c>
      <c r="C46" s="16">
        <v>0.98749869999999995</v>
      </c>
      <c r="D46" s="17">
        <v>4170359.73</v>
      </c>
      <c r="E46" s="16">
        <v>0.98804809999999998</v>
      </c>
      <c r="F46" s="17">
        <v>4077694.45</v>
      </c>
      <c r="G46" s="6" t="str">
        <f t="shared" si="24"/>
        <v>GGM</v>
      </c>
      <c r="I46" s="6" t="s">
        <v>175</v>
      </c>
      <c r="J46" s="18">
        <v>0.99455020000000005</v>
      </c>
      <c r="K46" s="17">
        <v>30806.880000000001</v>
      </c>
      <c r="L46" s="17">
        <f t="shared" si="25"/>
        <v>-23138.859999999997</v>
      </c>
      <c r="V46" s="6" t="s">
        <v>175</v>
      </c>
      <c r="W46" s="32">
        <v>0.99019000000000001</v>
      </c>
      <c r="X46" s="17">
        <v>41331.65</v>
      </c>
    </row>
  </sheetData>
  <conditionalFormatting sqref="AE7:AE16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:AE3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7:AK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:AK8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9:AK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0:AK1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1:AK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:AK1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3:AK1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4:AK1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5:AK1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:AK1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:AK2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3:AK2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4:AK2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:AK2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6:AK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7:AK2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8:AK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:AK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0:AK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1:AK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7:AF16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:AF3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7:AG1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:AG3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7:AH16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AH3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7:AI1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:AI3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:AJ1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:AJ3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:AK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:AK3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13:AZ16 BB13:BD16 BF13:BH16 BJ13:BL21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7:BU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8:BU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9:BU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10:BU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5247-589C-44F9-8D52-5DE81A7C1480}">
  <dimension ref="B1:CE63"/>
  <sheetViews>
    <sheetView workbookViewId="0">
      <selection activeCell="BW15" sqref="BW15:CE19"/>
    </sheetView>
  </sheetViews>
  <sheetFormatPr defaultRowHeight="14.4" outlineLevelRow="1" x14ac:dyDescent="0.3"/>
  <cols>
    <col min="1" max="1" width="2" style="1" customWidth="1"/>
    <col min="2" max="2" width="8.88671875" style="1"/>
    <col min="3" max="3" width="11.6640625" style="1" bestFit="1" customWidth="1"/>
    <col min="4" max="4" width="11.5546875" style="1" bestFit="1" customWidth="1"/>
    <col min="5" max="5" width="8.88671875" style="1"/>
    <col min="6" max="6" width="12.6640625" style="1" customWidth="1"/>
    <col min="7" max="7" width="8.88671875" style="1"/>
    <col min="8" max="8" width="2" style="20" customWidth="1"/>
    <col min="9" max="11" width="8.88671875" style="1"/>
    <col min="12" max="12" width="12.21875" style="1" bestFit="1" customWidth="1"/>
    <col min="13" max="13" width="2" style="20" customWidth="1"/>
    <col min="14" max="14" width="8.88671875" style="1"/>
    <col min="15" max="15" width="11.21875" style="1" bestFit="1" customWidth="1"/>
    <col min="16" max="16" width="12.21875" style="1" bestFit="1" customWidth="1"/>
    <col min="17" max="17" width="2" style="20" customWidth="1"/>
    <col min="18" max="18" width="8.88671875" style="1"/>
    <col min="19" max="19" width="9" style="1" customWidth="1"/>
    <col min="20" max="20" width="10.109375" style="1" bestFit="1" customWidth="1"/>
    <col min="21" max="21" width="2" style="20" customWidth="1"/>
    <col min="22" max="22" width="8.88671875" style="1"/>
    <col min="23" max="23" width="11.21875" style="1" bestFit="1" customWidth="1"/>
    <col min="24" max="24" width="10.109375" style="1" bestFit="1" customWidth="1"/>
    <col min="25" max="25" width="2" style="20" customWidth="1"/>
    <col min="26" max="28" width="10.109375" style="1" customWidth="1"/>
    <col min="29" max="29" width="2" style="20" customWidth="1"/>
    <col min="30" max="32" width="10.109375" style="1" customWidth="1"/>
    <col min="33" max="33" width="2" style="20" customWidth="1"/>
    <col min="34" max="34" width="9" style="1" bestFit="1" customWidth="1"/>
    <col min="35" max="35" width="10.109375" style="1" bestFit="1" customWidth="1"/>
    <col min="36" max="36" width="15.5546875" style="1" bestFit="1" customWidth="1"/>
    <col min="37" max="38" width="10.109375" style="1" bestFit="1" customWidth="1"/>
    <col min="39" max="39" width="13.21875" style="1" bestFit="1" customWidth="1"/>
    <col min="40" max="40" width="12.109375" style="1" bestFit="1" customWidth="1"/>
    <col min="41" max="42" width="12.109375" style="1" customWidth="1"/>
    <col min="43" max="43" width="2" style="36" customWidth="1"/>
    <col min="44" max="44" width="2" style="35" customWidth="1"/>
    <col min="45" max="45" width="2" style="36" customWidth="1"/>
    <col min="46" max="46" width="15.109375" style="1" customWidth="1"/>
    <col min="47" max="49" width="8.88671875" style="1"/>
    <col min="50" max="50" width="2" style="20" customWidth="1"/>
    <col min="51" max="53" width="8.88671875" style="1"/>
    <col min="54" max="54" width="2" style="20" customWidth="1"/>
    <col min="55" max="57" width="12.109375" style="1" customWidth="1"/>
    <col min="58" max="58" width="2" style="20" customWidth="1"/>
    <col min="59" max="61" width="12.109375" style="1" customWidth="1"/>
    <col min="62" max="62" width="2" style="20" customWidth="1"/>
    <col min="63" max="65" width="12.109375" style="1" customWidth="1"/>
    <col min="66" max="66" width="2" style="20" customWidth="1"/>
    <col min="67" max="69" width="12.109375" style="1" customWidth="1"/>
    <col min="70" max="70" width="2" style="20" customWidth="1"/>
    <col min="71" max="73" width="12.109375" style="1" customWidth="1"/>
    <col min="74" max="74" width="2" style="20" customWidth="1"/>
    <col min="75" max="75" width="11.88671875" style="1" customWidth="1"/>
    <col min="76" max="77" width="10.5546875" style="1" bestFit="1" customWidth="1"/>
    <col min="78" max="79" width="9.5546875" style="1" bestFit="1" customWidth="1"/>
    <col min="80" max="80" width="15.88671875" style="1" bestFit="1" customWidth="1"/>
    <col min="81" max="81" width="12.21875" style="1" bestFit="1" customWidth="1"/>
    <col min="82" max="82" width="9.5546875" style="1" bestFit="1" customWidth="1"/>
    <col min="83" max="83" width="9" style="1" bestFit="1" customWidth="1"/>
    <col min="84" max="16384" width="8.88671875" style="1"/>
  </cols>
  <sheetData>
    <row r="1" spans="2:83" ht="18" x14ac:dyDescent="0.35">
      <c r="B1" s="10" t="s">
        <v>286</v>
      </c>
      <c r="AC1" s="20" t="s">
        <v>282</v>
      </c>
      <c r="AG1" s="20" t="s">
        <v>282</v>
      </c>
      <c r="AT1" s="10" t="s">
        <v>285</v>
      </c>
      <c r="AX1" s="20" t="s">
        <v>282</v>
      </c>
    </row>
    <row r="2" spans="2:83" x14ac:dyDescent="0.3">
      <c r="B2" s="19" t="s">
        <v>287</v>
      </c>
      <c r="I2" s="19" t="s">
        <v>288</v>
      </c>
      <c r="N2" s="19" t="s">
        <v>135</v>
      </c>
      <c r="R2" s="19" t="s">
        <v>136</v>
      </c>
      <c r="S2" s="19"/>
      <c r="V2" s="19" t="s">
        <v>239</v>
      </c>
      <c r="W2" s="19"/>
      <c r="Z2" s="19" t="s">
        <v>268</v>
      </c>
      <c r="AD2" s="19" t="s">
        <v>142</v>
      </c>
      <c r="AH2" s="19" t="s">
        <v>188</v>
      </c>
      <c r="AI2" s="19"/>
      <c r="AJ2" s="19"/>
      <c r="AT2" s="19" t="s">
        <v>195</v>
      </c>
      <c r="AY2" s="19" t="s">
        <v>196</v>
      </c>
      <c r="BC2" s="19" t="s">
        <v>135</v>
      </c>
      <c r="BG2" s="19" t="s">
        <v>136</v>
      </c>
      <c r="BK2" s="19" t="s">
        <v>239</v>
      </c>
      <c r="BO2" s="19" t="s">
        <v>268</v>
      </c>
      <c r="BS2" s="19" t="s">
        <v>142</v>
      </c>
      <c r="BW2" s="19" t="s">
        <v>188</v>
      </c>
    </row>
    <row r="3" spans="2:83" x14ac:dyDescent="0.3">
      <c r="B3" s="37"/>
      <c r="I3" s="37"/>
      <c r="N3" s="37"/>
      <c r="R3" s="37"/>
      <c r="V3" s="37"/>
      <c r="Z3" s="37"/>
      <c r="AD3" s="37"/>
      <c r="AT3" s="37"/>
      <c r="AY3" s="37"/>
      <c r="BC3" s="37"/>
      <c r="BG3" s="37"/>
      <c r="BK3" s="37"/>
      <c r="BO3" s="37"/>
      <c r="BS3" s="37"/>
    </row>
    <row r="4" spans="2:83" ht="16.8" outlineLevel="1" x14ac:dyDescent="0.3">
      <c r="B4" s="5" t="s">
        <v>284</v>
      </c>
      <c r="I4" s="5" t="s">
        <v>284</v>
      </c>
      <c r="N4" s="5" t="s">
        <v>284</v>
      </c>
      <c r="R4" s="5" t="s">
        <v>284</v>
      </c>
      <c r="T4" s="21"/>
      <c r="V4" s="5" t="s">
        <v>284</v>
      </c>
      <c r="Z4" s="5" t="s">
        <v>284</v>
      </c>
      <c r="AD4" s="5" t="s">
        <v>284</v>
      </c>
      <c r="AH4" s="13" t="s">
        <v>284</v>
      </c>
      <c r="AI4" s="13"/>
      <c r="AJ4" s="13"/>
      <c r="AT4" s="5" t="s">
        <v>284</v>
      </c>
      <c r="AY4" s="5" t="s">
        <v>284</v>
      </c>
      <c r="BC4" s="5" t="s">
        <v>284</v>
      </c>
      <c r="BG4" s="5" t="s">
        <v>284</v>
      </c>
      <c r="BK4" s="5" t="s">
        <v>284</v>
      </c>
      <c r="BO4" s="5" t="s">
        <v>284</v>
      </c>
      <c r="BS4" s="5" t="s">
        <v>284</v>
      </c>
      <c r="BW4" s="13" t="s">
        <v>284</v>
      </c>
    </row>
    <row r="5" spans="2:83" ht="16.8" outlineLevel="1" x14ac:dyDescent="0.3">
      <c r="T5" s="21"/>
    </row>
    <row r="6" spans="2:83" outlineLevel="1" x14ac:dyDescent="0.3">
      <c r="B6" s="9" t="s">
        <v>162</v>
      </c>
      <c r="C6" s="9" t="s">
        <v>163</v>
      </c>
      <c r="D6" s="9" t="s">
        <v>164</v>
      </c>
      <c r="E6" s="9" t="s">
        <v>165</v>
      </c>
      <c r="F6" s="9" t="s">
        <v>166</v>
      </c>
      <c r="G6" s="9" t="s">
        <v>178</v>
      </c>
      <c r="I6" s="9" t="s">
        <v>162</v>
      </c>
      <c r="J6" s="9" t="s">
        <v>183</v>
      </c>
      <c r="K6" s="9" t="s">
        <v>184</v>
      </c>
      <c r="L6" s="9" t="s">
        <v>186</v>
      </c>
      <c r="N6" s="9" t="s">
        <v>162</v>
      </c>
      <c r="O6" s="9" t="s">
        <v>183</v>
      </c>
      <c r="P6" s="9" t="s">
        <v>184</v>
      </c>
      <c r="R6" s="9" t="s">
        <v>162</v>
      </c>
      <c r="S6" s="9" t="s">
        <v>183</v>
      </c>
      <c r="T6" s="9" t="s">
        <v>184</v>
      </c>
      <c r="V6" s="9" t="s">
        <v>162</v>
      </c>
      <c r="W6" s="9" t="s">
        <v>183</v>
      </c>
      <c r="X6" s="9" t="s">
        <v>184</v>
      </c>
      <c r="Z6" s="9" t="s">
        <v>162</v>
      </c>
      <c r="AA6" s="9" t="s">
        <v>183</v>
      </c>
      <c r="AB6" s="9" t="s">
        <v>184</v>
      </c>
      <c r="AD6" s="9" t="s">
        <v>162</v>
      </c>
      <c r="AE6" s="9" t="s">
        <v>183</v>
      </c>
      <c r="AF6" s="9" t="s">
        <v>184</v>
      </c>
      <c r="AH6" s="9" t="s">
        <v>162</v>
      </c>
      <c r="AI6" s="9" t="s">
        <v>135</v>
      </c>
      <c r="AJ6" s="9" t="s">
        <v>136</v>
      </c>
      <c r="AK6" s="9" t="s">
        <v>189</v>
      </c>
      <c r="AL6" s="9" t="s">
        <v>33</v>
      </c>
      <c r="AM6" s="9" t="s">
        <v>239</v>
      </c>
      <c r="AN6" s="9" t="s">
        <v>190</v>
      </c>
      <c r="AO6" s="9" t="s">
        <v>268</v>
      </c>
      <c r="AP6" s="9" t="s">
        <v>142</v>
      </c>
      <c r="AT6" s="9" t="s">
        <v>191</v>
      </c>
      <c r="AU6" s="9" t="s">
        <v>131</v>
      </c>
      <c r="AV6" s="9" t="s">
        <v>183</v>
      </c>
      <c r="AW6" s="9" t="s">
        <v>184</v>
      </c>
      <c r="AY6" s="9" t="s">
        <v>191</v>
      </c>
      <c r="AZ6" s="9" t="s">
        <v>183</v>
      </c>
      <c r="BA6" s="9" t="s">
        <v>184</v>
      </c>
      <c r="BC6" s="9" t="s">
        <v>191</v>
      </c>
      <c r="BD6" s="9" t="s">
        <v>183</v>
      </c>
      <c r="BE6" s="9" t="s">
        <v>184</v>
      </c>
      <c r="BG6" s="9" t="s">
        <v>191</v>
      </c>
      <c r="BH6" s="9" t="s">
        <v>183</v>
      </c>
      <c r="BI6" s="9" t="s">
        <v>184</v>
      </c>
      <c r="BK6" s="9" t="s">
        <v>191</v>
      </c>
      <c r="BL6" s="9" t="s">
        <v>183</v>
      </c>
      <c r="BM6" s="9" t="s">
        <v>184</v>
      </c>
      <c r="BO6" s="9" t="s">
        <v>191</v>
      </c>
      <c r="BP6" s="9" t="s">
        <v>183</v>
      </c>
      <c r="BQ6" s="9" t="s">
        <v>184</v>
      </c>
      <c r="BS6" s="9" t="s">
        <v>191</v>
      </c>
      <c r="BT6" s="9" t="s">
        <v>183</v>
      </c>
      <c r="BU6" s="9" t="s">
        <v>184</v>
      </c>
      <c r="BW6" s="9" t="s">
        <v>191</v>
      </c>
      <c r="BX6" s="9" t="s">
        <v>135</v>
      </c>
      <c r="BY6" s="9" t="s">
        <v>136</v>
      </c>
      <c r="BZ6" s="9" t="s">
        <v>189</v>
      </c>
      <c r="CA6" s="9" t="s">
        <v>33</v>
      </c>
      <c r="CB6" s="9" t="s">
        <v>239</v>
      </c>
      <c r="CC6" s="9" t="s">
        <v>190</v>
      </c>
      <c r="CD6" s="9" t="s">
        <v>268</v>
      </c>
      <c r="CE6" s="9" t="s">
        <v>142</v>
      </c>
    </row>
    <row r="7" spans="2:83" outlineLevel="1" x14ac:dyDescent="0.3">
      <c r="B7" s="1" t="s">
        <v>167</v>
      </c>
      <c r="C7" s="15">
        <v>-0.88045949999999995</v>
      </c>
      <c r="D7" s="14">
        <v>1457551.04</v>
      </c>
      <c r="E7" s="15">
        <v>-18.720834199999999</v>
      </c>
      <c r="F7" s="14">
        <v>4720135</v>
      </c>
      <c r="G7" s="1" t="str">
        <f>+IF(F7&lt;D7,"GGM","BM")</f>
        <v>BM</v>
      </c>
      <c r="I7" s="1" t="s">
        <v>167</v>
      </c>
      <c r="J7" s="33">
        <v>-18.442921699999999</v>
      </c>
      <c r="K7" s="14">
        <v>4686758.0999999996</v>
      </c>
      <c r="L7" s="14">
        <f>+K7-F7</f>
        <v>-33376.900000000373</v>
      </c>
      <c r="N7" s="1" t="s">
        <v>167</v>
      </c>
      <c r="O7" s="33">
        <v>-1167.2323490000001</v>
      </c>
      <c r="P7" s="14">
        <v>35518040</v>
      </c>
      <c r="R7" s="1" t="s">
        <v>167</v>
      </c>
      <c r="S7" s="33">
        <v>-1167.7180880000001</v>
      </c>
      <c r="T7" s="14">
        <v>35525420</v>
      </c>
      <c r="V7" s="1" t="s">
        <v>167</v>
      </c>
      <c r="W7" s="33">
        <v>-6.5581474999999996</v>
      </c>
      <c r="X7" s="14">
        <v>2922129.51</v>
      </c>
      <c r="Z7" s="1" t="s">
        <v>167</v>
      </c>
      <c r="AA7" s="33">
        <v>-5.1333900000000003</v>
      </c>
      <c r="AB7" s="14">
        <v>2632341</v>
      </c>
      <c r="AD7" s="1" t="s">
        <v>167</v>
      </c>
      <c r="AE7" s="33">
        <v>0.15242800000000001</v>
      </c>
      <c r="AF7" s="14">
        <v>978543.1</v>
      </c>
      <c r="AH7" s="1" t="s">
        <v>167</v>
      </c>
      <c r="AI7" s="14">
        <f t="shared" ref="AI7:AI16" si="0">+_xlfn.XLOOKUP($AH7,N$7:N$16,P$7:P$16)</f>
        <v>35518040</v>
      </c>
      <c r="AJ7" s="14">
        <f t="shared" ref="AJ7:AJ16" si="1">+_xlfn.XLOOKUP($AH7,R$7:R$16,T$7:T$16)</f>
        <v>35525420</v>
      </c>
      <c r="AK7" s="14">
        <f t="shared" ref="AK7:AK16" si="2">+_xlfn.XLOOKUP($AH7,B$7:B$16,D$7:D$16)</f>
        <v>1457551.04</v>
      </c>
      <c r="AL7" s="14">
        <f t="shared" ref="AL7:AL16" si="3">+_xlfn.XLOOKUP($AH7,B$7:B$16,F$7:F$16)</f>
        <v>4720135</v>
      </c>
      <c r="AM7" s="14">
        <f t="shared" ref="AM7:AM16" si="4">+_xlfn.XLOOKUP($AH7,V$7:V$16,X$7:X$16)</f>
        <v>2922129.51</v>
      </c>
      <c r="AN7" s="14">
        <f t="shared" ref="AN7:AN16" si="5">+_xlfn.XLOOKUP($AH7,I$7:I$16,K$7:K$16)</f>
        <v>4686758.0999999996</v>
      </c>
      <c r="AO7" s="14">
        <f t="shared" ref="AO7:AO16" si="6">+_xlfn.XLOOKUP(AH7,$Z$7:$Z$16,$AB$7:$AB$16)</f>
        <v>2632341</v>
      </c>
      <c r="AP7" s="14">
        <f>+_xlfn.XLOOKUP(AH7,$AD$7:$AD$16,$AF$7:$AF$16)</f>
        <v>978543.1</v>
      </c>
      <c r="AT7" s="1" t="s">
        <v>192</v>
      </c>
      <c r="AU7" s="1" t="s">
        <v>189</v>
      </c>
      <c r="AV7" s="12">
        <v>-5.7474112999999996</v>
      </c>
      <c r="AW7" s="14">
        <v>269246.39079999999</v>
      </c>
      <c r="AY7" s="1" t="s">
        <v>193</v>
      </c>
      <c r="AZ7" s="15">
        <v>-2.6609845999999999</v>
      </c>
      <c r="BA7" s="25">
        <v>62.22701</v>
      </c>
      <c r="BC7" s="1" t="s">
        <v>193</v>
      </c>
      <c r="BD7" s="33">
        <v>-1556969</v>
      </c>
      <c r="BE7" s="14">
        <v>40580.75</v>
      </c>
      <c r="BG7" s="1" t="s">
        <v>193</v>
      </c>
      <c r="BH7" s="33">
        <v>-1466067</v>
      </c>
      <c r="BI7" s="14">
        <v>39378.31</v>
      </c>
      <c r="BK7" s="1" t="s">
        <v>193</v>
      </c>
      <c r="BL7" s="33">
        <v>0.45879575</v>
      </c>
      <c r="BM7" s="14">
        <v>23.92548</v>
      </c>
      <c r="BO7" s="1" t="s">
        <v>193</v>
      </c>
      <c r="BP7" s="33">
        <v>-71.902986999999996</v>
      </c>
      <c r="BQ7" s="14">
        <v>1366.269454</v>
      </c>
      <c r="BS7" s="1" t="s">
        <v>193</v>
      </c>
      <c r="BT7" s="33">
        <v>0.95831999999999995</v>
      </c>
      <c r="BU7" s="14">
        <v>6.6396439999999997</v>
      </c>
      <c r="BW7" s="1" t="s">
        <v>192</v>
      </c>
      <c r="BX7" s="14">
        <f>+_xlfn.XLOOKUP($BW7,$BC$7:$BC$10,$BE$7:$BE$10)</f>
        <v>517077.6</v>
      </c>
      <c r="BY7" s="14">
        <f>+_xlfn.XLOOKUP(BW7,$BG$7:$BG$10,$BI$7:$BI$10)</f>
        <v>510340.6</v>
      </c>
      <c r="BZ7" s="14">
        <f>+AW7</f>
        <v>269246.39079999999</v>
      </c>
      <c r="CA7" s="14">
        <f>+AW8</f>
        <v>367562.62449999998</v>
      </c>
      <c r="CB7" s="14">
        <f>+_xlfn.XLOOKUP($BW7,$BK$7:$BK$10,$BM$7:$BM$10)</f>
        <v>55606.478790000001</v>
      </c>
      <c r="CC7" s="14">
        <f>+BA7</f>
        <v>62.22701</v>
      </c>
      <c r="CD7" s="14">
        <f>+_xlfn.XLOOKUP($BW7,$BO$7:$BO$10,$BQ$7:$BQ$10)</f>
        <v>55867.376609999999</v>
      </c>
      <c r="CE7" s="14">
        <f>+_xlfn.XLOOKUP($BW7,$BS$7:$BS$10,$BU$7:$BU$10)</f>
        <v>34732.780121999996</v>
      </c>
    </row>
    <row r="8" spans="2:83" outlineLevel="1" x14ac:dyDescent="0.3">
      <c r="B8" s="6" t="s">
        <v>168</v>
      </c>
      <c r="C8" s="16">
        <v>-28.473542599999998</v>
      </c>
      <c r="D8" s="17">
        <v>1507384.69</v>
      </c>
      <c r="E8" s="16">
        <v>-44.418825099999999</v>
      </c>
      <c r="F8" s="17">
        <v>1871224.42</v>
      </c>
      <c r="G8" s="6" t="str">
        <f t="shared" ref="G8:G16" si="7">+IF(F8&lt;D8,"GGM","BM")</f>
        <v>BM</v>
      </c>
      <c r="I8" s="6" t="s">
        <v>168</v>
      </c>
      <c r="J8" s="34">
        <v>-39.417364499999998</v>
      </c>
      <c r="K8" s="17">
        <v>1765191.9</v>
      </c>
      <c r="L8" s="17">
        <f t="shared" ref="L8:L16" si="8">+K8-F8</f>
        <v>-106032.52000000002</v>
      </c>
      <c r="N8" s="6" t="s">
        <v>168</v>
      </c>
      <c r="O8" s="34">
        <v>-342.44675999999998</v>
      </c>
      <c r="P8" s="17">
        <v>4850543</v>
      </c>
      <c r="R8" s="6" t="s">
        <v>168</v>
      </c>
      <c r="S8" s="34">
        <v>-342.43093699999997</v>
      </c>
      <c r="T8" s="17">
        <v>4850431</v>
      </c>
      <c r="V8" s="6" t="s">
        <v>168</v>
      </c>
      <c r="W8" s="34">
        <v>-0.14459959999999999</v>
      </c>
      <c r="X8" s="17">
        <v>297053.53000000003</v>
      </c>
      <c r="Z8" s="6" t="s">
        <v>168</v>
      </c>
      <c r="AA8" s="34">
        <v>-3.654674</v>
      </c>
      <c r="AB8" s="17">
        <v>599035.5</v>
      </c>
      <c r="AD8" s="6" t="s">
        <v>168</v>
      </c>
      <c r="AE8" s="34">
        <v>0.90742500000000004</v>
      </c>
      <c r="AF8" s="17">
        <v>84480.34</v>
      </c>
      <c r="AH8" s="6" t="s">
        <v>168</v>
      </c>
      <c r="AI8" s="14">
        <f t="shared" si="0"/>
        <v>4850543</v>
      </c>
      <c r="AJ8" s="14">
        <f t="shared" si="1"/>
        <v>4850431</v>
      </c>
      <c r="AK8" s="14">
        <f t="shared" si="2"/>
        <v>1507384.69</v>
      </c>
      <c r="AL8" s="14">
        <f t="shared" si="3"/>
        <v>1871224.42</v>
      </c>
      <c r="AM8" s="14">
        <f t="shared" si="4"/>
        <v>297053.53000000003</v>
      </c>
      <c r="AN8" s="14">
        <f t="shared" si="5"/>
        <v>1765191.9</v>
      </c>
      <c r="AO8" s="14">
        <f t="shared" si="6"/>
        <v>599035.5</v>
      </c>
      <c r="AP8" s="14">
        <f t="shared" ref="AP8:AP16" si="9">+_xlfn.XLOOKUP(AH8,$AD$7:$AD$16,$AF$7:$AF$16)</f>
        <v>84480.34</v>
      </c>
      <c r="AT8" s="6" t="s">
        <v>192</v>
      </c>
      <c r="AU8" s="6" t="s">
        <v>33</v>
      </c>
      <c r="AV8" s="18">
        <v>-11.574771200000001</v>
      </c>
      <c r="AW8" s="17">
        <v>367562.62449999998</v>
      </c>
      <c r="AY8" s="6" t="s">
        <v>192</v>
      </c>
      <c r="AZ8" s="16">
        <v>0.59136739999999999</v>
      </c>
      <c r="BA8" s="26">
        <v>33522.334649999997</v>
      </c>
      <c r="BC8" s="6" t="s">
        <v>192</v>
      </c>
      <c r="BD8" s="34">
        <v>-96.224559999999997</v>
      </c>
      <c r="BE8" s="17">
        <v>517077.6</v>
      </c>
      <c r="BG8" s="6" t="s">
        <v>192</v>
      </c>
      <c r="BH8" s="34">
        <v>-93.707589999999996</v>
      </c>
      <c r="BI8" s="17">
        <v>510340.6</v>
      </c>
      <c r="BK8" s="6" t="s">
        <v>192</v>
      </c>
      <c r="BL8" s="34">
        <v>-0.12438572000000001</v>
      </c>
      <c r="BM8" s="17">
        <v>55606.478790000001</v>
      </c>
      <c r="BO8" s="6" t="s">
        <v>192</v>
      </c>
      <c r="BP8" s="34">
        <v>0.70949499999999999</v>
      </c>
      <c r="BQ8" s="17">
        <v>55867.376609999999</v>
      </c>
      <c r="BS8" s="6" t="s">
        <v>192</v>
      </c>
      <c r="BT8" s="34">
        <v>0.56132400000000005</v>
      </c>
      <c r="BU8" s="17">
        <v>34732.780121999996</v>
      </c>
      <c r="BW8" s="6" t="s">
        <v>193</v>
      </c>
      <c r="BX8" s="17">
        <f t="shared" ref="BX8:BX10" si="10">+_xlfn.XLOOKUP($BW8,$BC$7:$BC$10,$BE$7:$BE$10)</f>
        <v>40580.75</v>
      </c>
      <c r="BY8" s="17">
        <f>+_xlfn.XLOOKUP(BW8,$BG$7:$BG$10,$BI$7:$BI$10)</f>
        <v>39378.31</v>
      </c>
      <c r="BZ8" s="17">
        <f>+AW9</f>
        <v>1508.5369000000001</v>
      </c>
      <c r="CA8" s="17">
        <f>+AW10</f>
        <v>1273.9808</v>
      </c>
      <c r="CB8" s="17">
        <f t="shared" ref="CB8:CB10" si="11">+_xlfn.XLOOKUP($BW8,$BK$7:$BK$10,$BM$7:$BM$10)</f>
        <v>23.92548</v>
      </c>
      <c r="CC8" s="17">
        <f>+BA8</f>
        <v>33522.334649999997</v>
      </c>
      <c r="CD8" s="17">
        <f t="shared" ref="CD8:CD10" si="12">+_xlfn.XLOOKUP($BW8,$BO$7:$BO$10,$BQ$7:$BQ$10)</f>
        <v>1366.269454</v>
      </c>
      <c r="CE8" s="17">
        <f t="shared" ref="CE8:CE10" si="13">+_xlfn.XLOOKUP($BW8,$BS$7:$BS$10,$BU$7:$BU$10)</f>
        <v>6.6396439999999997</v>
      </c>
    </row>
    <row r="9" spans="2:83" outlineLevel="1" x14ac:dyDescent="0.3">
      <c r="B9" s="1" t="s">
        <v>169</v>
      </c>
      <c r="C9" s="15">
        <v>-14.8750605</v>
      </c>
      <c r="D9" s="14">
        <v>98817.08</v>
      </c>
      <c r="E9" s="15">
        <v>-100.7885666</v>
      </c>
      <c r="F9" s="14">
        <v>250221.03</v>
      </c>
      <c r="G9" s="1" t="str">
        <f t="shared" si="7"/>
        <v>BM</v>
      </c>
      <c r="I9" s="1" t="s">
        <v>169</v>
      </c>
      <c r="J9" s="33">
        <v>-101.5126727</v>
      </c>
      <c r="K9" s="14">
        <v>251109.5</v>
      </c>
      <c r="L9" s="14">
        <f>+K9-F9</f>
        <v>888.47000000000116</v>
      </c>
      <c r="N9" s="1" t="s">
        <v>169</v>
      </c>
      <c r="O9" s="33">
        <v>-74322.225143000003</v>
      </c>
      <c r="P9" s="14">
        <v>6319862</v>
      </c>
      <c r="R9" s="1" t="s">
        <v>169</v>
      </c>
      <c r="S9" s="33">
        <v>-74373.441279000006</v>
      </c>
      <c r="T9" s="14">
        <v>6322039</v>
      </c>
      <c r="V9" s="1" t="s">
        <v>169</v>
      </c>
      <c r="W9" s="33">
        <v>-844.09909029999994</v>
      </c>
      <c r="X9" s="14">
        <v>720988.16000000003</v>
      </c>
      <c r="Z9" s="1" t="s">
        <v>169</v>
      </c>
      <c r="AA9" s="33">
        <v>-527.98294699999997</v>
      </c>
      <c r="AB9" s="14">
        <v>570420.5</v>
      </c>
      <c r="AD9" s="1" t="s">
        <v>169</v>
      </c>
      <c r="AE9" s="33">
        <v>0.85376200000000002</v>
      </c>
      <c r="AF9" s="14">
        <v>9484.2870000000003</v>
      </c>
      <c r="AH9" s="1" t="s">
        <v>169</v>
      </c>
      <c r="AI9" s="14">
        <f t="shared" si="0"/>
        <v>6319862</v>
      </c>
      <c r="AJ9" s="14">
        <f t="shared" si="1"/>
        <v>6322039</v>
      </c>
      <c r="AK9" s="14">
        <f t="shared" si="2"/>
        <v>98817.08</v>
      </c>
      <c r="AL9" s="14">
        <f t="shared" si="3"/>
        <v>250221.03</v>
      </c>
      <c r="AM9" s="14">
        <f t="shared" si="4"/>
        <v>720988.16000000003</v>
      </c>
      <c r="AN9" s="14">
        <f t="shared" si="5"/>
        <v>251109.5</v>
      </c>
      <c r="AO9" s="14">
        <f t="shared" si="6"/>
        <v>570420.5</v>
      </c>
      <c r="AP9" s="14">
        <f t="shared" si="9"/>
        <v>9484.2870000000003</v>
      </c>
      <c r="AT9" s="1" t="s">
        <v>193</v>
      </c>
      <c r="AU9" s="1" t="s">
        <v>189</v>
      </c>
      <c r="AV9" s="12">
        <v>-87.875995500000002</v>
      </c>
      <c r="AW9" s="14">
        <v>1508.5369000000001</v>
      </c>
      <c r="AY9" s="1" t="s">
        <v>289</v>
      </c>
      <c r="AZ9" s="15">
        <v>-54.161358200000002</v>
      </c>
      <c r="BA9" s="25">
        <v>326.82960000000003</v>
      </c>
      <c r="BC9" s="1" t="s">
        <v>197</v>
      </c>
      <c r="BD9" s="33">
        <v>-1116797</v>
      </c>
      <c r="BE9" s="14">
        <v>46504.1</v>
      </c>
      <c r="BG9" s="1" t="s">
        <v>197</v>
      </c>
      <c r="BH9" s="33">
        <v>-1057560</v>
      </c>
      <c r="BI9" s="14">
        <v>45253.96</v>
      </c>
      <c r="BK9" s="1" t="s">
        <v>197</v>
      </c>
      <c r="BL9" s="33">
        <v>0.43556107999999999</v>
      </c>
      <c r="BM9" s="14">
        <v>33.06073</v>
      </c>
      <c r="BO9" s="1" t="s">
        <v>197</v>
      </c>
      <c r="BP9" s="33">
        <v>-16.475088</v>
      </c>
      <c r="BQ9" s="14">
        <v>1129.176692</v>
      </c>
      <c r="BS9" s="1" t="s">
        <v>197</v>
      </c>
      <c r="BT9" s="33">
        <v>-2.6274600000000001</v>
      </c>
      <c r="BU9" s="14">
        <v>83.811807000000002</v>
      </c>
      <c r="BW9" s="1" t="s">
        <v>197</v>
      </c>
      <c r="BX9" s="14">
        <f t="shared" si="10"/>
        <v>46504.1</v>
      </c>
      <c r="BY9" s="14">
        <f>+_xlfn.XLOOKUP(BW10,$BG$7:$BG$10,$BI$7:$BI$10)</f>
        <v>1090796</v>
      </c>
      <c r="BZ9" s="14">
        <f>+AW11</f>
        <v>2156.3809999999999</v>
      </c>
      <c r="CA9" s="14">
        <f>+AW12</f>
        <v>367.51769999999999</v>
      </c>
      <c r="CB9" s="14">
        <f t="shared" si="11"/>
        <v>33.06073</v>
      </c>
      <c r="CC9" s="14">
        <f>+BA9</f>
        <v>326.82960000000003</v>
      </c>
      <c r="CD9" s="14">
        <f t="shared" si="12"/>
        <v>1129.176692</v>
      </c>
      <c r="CE9" s="14">
        <f t="shared" si="13"/>
        <v>83.811807000000002</v>
      </c>
    </row>
    <row r="10" spans="2:83" outlineLevel="1" x14ac:dyDescent="0.3">
      <c r="B10" s="6" t="s">
        <v>187</v>
      </c>
      <c r="C10" s="16">
        <v>-45.222719599999998</v>
      </c>
      <c r="D10" s="17">
        <v>62347.05</v>
      </c>
      <c r="E10" s="16">
        <v>-42.999206399999998</v>
      </c>
      <c r="F10" s="17">
        <v>60828.99</v>
      </c>
      <c r="G10" s="6" t="str">
        <f t="shared" si="7"/>
        <v>GGM</v>
      </c>
      <c r="I10" s="6" t="s">
        <v>187</v>
      </c>
      <c r="J10" s="34">
        <v>-36.981007400000003</v>
      </c>
      <c r="K10" s="17">
        <v>56516</v>
      </c>
      <c r="L10" s="17">
        <f t="shared" si="8"/>
        <v>-4312.989999999998</v>
      </c>
      <c r="N10" s="6" t="s">
        <v>187</v>
      </c>
      <c r="O10" s="34">
        <v>-5849.742776</v>
      </c>
      <c r="P10" s="17">
        <v>648975</v>
      </c>
      <c r="R10" s="6" t="s">
        <v>187</v>
      </c>
      <c r="S10" s="34">
        <v>-5872.4790750000002</v>
      </c>
      <c r="T10" s="17">
        <v>650234.80000000005</v>
      </c>
      <c r="V10" s="6" t="s">
        <v>187</v>
      </c>
      <c r="W10" s="34">
        <v>-39.938344000000001</v>
      </c>
      <c r="X10" s="17">
        <v>58675.03</v>
      </c>
      <c r="Z10" s="6" t="s">
        <v>187</v>
      </c>
      <c r="AA10" s="34">
        <v>-164.294004</v>
      </c>
      <c r="AB10" s="17">
        <v>117900.8</v>
      </c>
      <c r="AD10" s="6" t="s">
        <v>187</v>
      </c>
      <c r="AE10" s="34">
        <v>0.70942099999999997</v>
      </c>
      <c r="AF10" s="17">
        <v>4943.3419999999996</v>
      </c>
      <c r="AH10" s="6" t="s">
        <v>187</v>
      </c>
      <c r="AI10" s="14">
        <f t="shared" si="0"/>
        <v>648975</v>
      </c>
      <c r="AJ10" s="14">
        <f t="shared" si="1"/>
        <v>650234.80000000005</v>
      </c>
      <c r="AK10" s="14">
        <f t="shared" si="2"/>
        <v>62347.05</v>
      </c>
      <c r="AL10" s="14">
        <f t="shared" si="3"/>
        <v>60828.99</v>
      </c>
      <c r="AM10" s="14">
        <f t="shared" si="4"/>
        <v>58675.03</v>
      </c>
      <c r="AN10" s="14">
        <f t="shared" si="5"/>
        <v>56516</v>
      </c>
      <c r="AO10" s="14">
        <f t="shared" si="6"/>
        <v>117900.8</v>
      </c>
      <c r="AP10" s="14">
        <f t="shared" si="9"/>
        <v>4943.3419999999996</v>
      </c>
      <c r="AT10" s="6" t="s">
        <v>193</v>
      </c>
      <c r="AU10" s="6" t="s">
        <v>33</v>
      </c>
      <c r="AV10" s="18">
        <v>-62.386733300000003</v>
      </c>
      <c r="AW10" s="17">
        <v>1273.9808</v>
      </c>
      <c r="AY10" s="6" t="s">
        <v>283</v>
      </c>
      <c r="AZ10" s="16">
        <v>-7.8432873000000001</v>
      </c>
      <c r="BA10" s="26">
        <v>63829.462</v>
      </c>
      <c r="BC10" s="6" t="s">
        <v>283</v>
      </c>
      <c r="BD10" s="34">
        <v>-2694.8380000000002</v>
      </c>
      <c r="BE10" s="17">
        <v>1114452</v>
      </c>
      <c r="BG10" s="6" t="s">
        <v>283</v>
      </c>
      <c r="BH10" s="34">
        <v>-2581.6080000000002</v>
      </c>
      <c r="BI10" s="17">
        <v>1090796</v>
      </c>
      <c r="BK10" s="6" t="s">
        <v>283</v>
      </c>
      <c r="BL10" s="34">
        <v>1.256618E-2</v>
      </c>
      <c r="BM10" s="17">
        <v>21328.893110000001</v>
      </c>
      <c r="BO10" s="6" t="s">
        <v>283</v>
      </c>
      <c r="BP10" s="34">
        <v>-1.0690390000000001</v>
      </c>
      <c r="BQ10" s="17">
        <v>197356.89684900001</v>
      </c>
      <c r="BS10" s="6" t="s">
        <v>283</v>
      </c>
      <c r="BT10" s="34">
        <v>0.74929500000000004</v>
      </c>
      <c r="BU10" s="17">
        <v>10747.212681999999</v>
      </c>
      <c r="BW10" s="6" t="s">
        <v>283</v>
      </c>
      <c r="BX10" s="17">
        <f t="shared" si="10"/>
        <v>1114452</v>
      </c>
      <c r="BY10" s="17">
        <f>+_xlfn.XLOOKUP(BW10,$BG$7:$BG$10,$BI$7:$BI$10)</f>
        <v>1090796</v>
      </c>
      <c r="BZ10" s="17">
        <f>+AW13</f>
        <v>786390.35939999996</v>
      </c>
      <c r="CA10" s="17">
        <f>+AW14</f>
        <v>185228.0214</v>
      </c>
      <c r="CB10" s="17">
        <f t="shared" si="11"/>
        <v>21328.893110000001</v>
      </c>
      <c r="CC10" s="17">
        <f>+BA10</f>
        <v>63829.462</v>
      </c>
      <c r="CD10" s="17">
        <f t="shared" si="12"/>
        <v>197356.89684900001</v>
      </c>
      <c r="CE10" s="17">
        <f t="shared" si="13"/>
        <v>10747.212681999999</v>
      </c>
    </row>
    <row r="11" spans="2:83" outlineLevel="1" x14ac:dyDescent="0.3">
      <c r="B11" s="1" t="s">
        <v>171</v>
      </c>
      <c r="C11" s="15">
        <v>-11.4324584</v>
      </c>
      <c r="D11" s="14">
        <v>8599527.8300000001</v>
      </c>
      <c r="E11" s="15">
        <v>0.75520039999999999</v>
      </c>
      <c r="F11" s="14">
        <v>1206705.8899999999</v>
      </c>
      <c r="G11" s="1" t="str">
        <f t="shared" si="7"/>
        <v>GGM</v>
      </c>
      <c r="I11" s="1" t="s">
        <v>171</v>
      </c>
      <c r="J11" s="33">
        <v>0.7672158</v>
      </c>
      <c r="K11" s="14">
        <v>1176719.3</v>
      </c>
      <c r="L11" s="14">
        <f t="shared" si="8"/>
        <v>-29986.589999999851</v>
      </c>
      <c r="N11" s="1" t="s">
        <v>171</v>
      </c>
      <c r="O11" s="33">
        <v>-210.45065</v>
      </c>
      <c r="P11" s="14">
        <v>35465050</v>
      </c>
      <c r="R11" s="1" t="s">
        <v>171</v>
      </c>
      <c r="S11" s="33">
        <v>-210.44169099999999</v>
      </c>
      <c r="T11" s="14">
        <v>35464300</v>
      </c>
      <c r="V11" s="1" t="s">
        <v>171</v>
      </c>
      <c r="W11" s="33">
        <v>-10.440305199999999</v>
      </c>
      <c r="X11" s="14">
        <v>8249258.3600000003</v>
      </c>
      <c r="Z11" s="1" t="s">
        <v>171</v>
      </c>
      <c r="AA11" s="33">
        <v>-22.354537000000001</v>
      </c>
      <c r="AB11" s="14">
        <v>11786420</v>
      </c>
      <c r="AD11" s="1" t="s">
        <v>171</v>
      </c>
      <c r="AE11" s="33">
        <v>0.96534200000000003</v>
      </c>
      <c r="AF11" s="14">
        <v>454043.1</v>
      </c>
      <c r="AH11" s="1" t="s">
        <v>171</v>
      </c>
      <c r="AI11" s="14">
        <f t="shared" si="0"/>
        <v>35465050</v>
      </c>
      <c r="AJ11" s="14">
        <f t="shared" si="1"/>
        <v>35464300</v>
      </c>
      <c r="AK11" s="14">
        <f t="shared" si="2"/>
        <v>8599527.8300000001</v>
      </c>
      <c r="AL11" s="14">
        <f t="shared" si="3"/>
        <v>1206705.8899999999</v>
      </c>
      <c r="AM11" s="14">
        <f t="shared" si="4"/>
        <v>8249258.3600000003</v>
      </c>
      <c r="AN11" s="14">
        <f t="shared" si="5"/>
        <v>1176719.3</v>
      </c>
      <c r="AO11" s="14">
        <f t="shared" si="6"/>
        <v>11786420</v>
      </c>
      <c r="AP11" s="14">
        <f t="shared" si="9"/>
        <v>454043.1</v>
      </c>
      <c r="AT11" s="1" t="s">
        <v>289</v>
      </c>
      <c r="AU11" s="1" t="s">
        <v>189</v>
      </c>
      <c r="AV11" s="12">
        <v>-62.730387200000003</v>
      </c>
      <c r="AW11" s="14">
        <v>2156.3809999999999</v>
      </c>
      <c r="BD11" s="12"/>
      <c r="BE11" s="14"/>
      <c r="BG11" s="14"/>
      <c r="BH11" s="14"/>
      <c r="BI11" s="14"/>
      <c r="BK11" s="14"/>
      <c r="BL11" s="14"/>
      <c r="BM11" s="14"/>
      <c r="BO11" s="14"/>
      <c r="BP11" s="14"/>
      <c r="BQ11" s="14"/>
      <c r="BS11" s="14"/>
      <c r="BT11" s="14"/>
      <c r="BU11" s="14"/>
    </row>
    <row r="12" spans="2:83" outlineLevel="1" x14ac:dyDescent="0.3">
      <c r="B12" s="6" t="s">
        <v>172</v>
      </c>
      <c r="C12" s="16">
        <v>-111.9174616</v>
      </c>
      <c r="D12" s="17">
        <v>16238019.49</v>
      </c>
      <c r="E12" s="16">
        <v>-17.482627300000001</v>
      </c>
      <c r="F12" s="17">
        <v>6569530.8799999999</v>
      </c>
      <c r="G12" s="6" t="str">
        <f t="shared" si="7"/>
        <v>GGM</v>
      </c>
      <c r="I12" s="6" t="s">
        <v>172</v>
      </c>
      <c r="J12" s="34">
        <v>-11.824242099999999</v>
      </c>
      <c r="K12" s="17">
        <v>5472280.5999999996</v>
      </c>
      <c r="L12" s="17">
        <f t="shared" si="8"/>
        <v>-1097250.2800000003</v>
      </c>
      <c r="N12" s="6" t="s">
        <v>172</v>
      </c>
      <c r="O12" s="34">
        <v>-242.90492599999999</v>
      </c>
      <c r="P12" s="17">
        <v>23865070</v>
      </c>
      <c r="R12" s="6" t="s">
        <v>172</v>
      </c>
      <c r="S12" s="34">
        <v>-242.90095299999999</v>
      </c>
      <c r="T12" s="17">
        <v>23864880</v>
      </c>
      <c r="V12" s="6" t="s">
        <v>172</v>
      </c>
      <c r="W12" s="34">
        <v>0.73289349999999998</v>
      </c>
      <c r="X12" s="17">
        <v>789759.22</v>
      </c>
      <c r="Z12" s="6" t="s">
        <v>172</v>
      </c>
      <c r="AA12" s="34">
        <v>-9.6180679999999992</v>
      </c>
      <c r="AB12" s="17">
        <v>4979380</v>
      </c>
      <c r="AD12" s="6" t="s">
        <v>172</v>
      </c>
      <c r="AE12" s="34">
        <v>-20.279411</v>
      </c>
      <c r="AF12" s="17">
        <v>7049078</v>
      </c>
      <c r="AH12" s="6" t="s">
        <v>172</v>
      </c>
      <c r="AI12" s="14">
        <f t="shared" si="0"/>
        <v>23865070</v>
      </c>
      <c r="AJ12" s="14">
        <f t="shared" si="1"/>
        <v>23864880</v>
      </c>
      <c r="AK12" s="14">
        <f t="shared" si="2"/>
        <v>16238019.49</v>
      </c>
      <c r="AL12" s="14">
        <f t="shared" si="3"/>
        <v>6569530.8799999999</v>
      </c>
      <c r="AM12" s="14">
        <f t="shared" si="4"/>
        <v>789759.22</v>
      </c>
      <c r="AN12" s="14">
        <f t="shared" si="5"/>
        <v>5472280.5999999996</v>
      </c>
      <c r="AO12" s="14">
        <f t="shared" si="6"/>
        <v>4979380</v>
      </c>
      <c r="AP12" s="14">
        <f t="shared" si="9"/>
        <v>7049078</v>
      </c>
      <c r="AT12" s="6" t="s">
        <v>289</v>
      </c>
      <c r="AU12" s="6" t="s">
        <v>33</v>
      </c>
      <c r="AV12" s="18">
        <v>-0.85119440000000002</v>
      </c>
      <c r="AW12" s="17">
        <v>367.51769999999999</v>
      </c>
      <c r="BD12" s="12"/>
      <c r="BE12" s="14"/>
      <c r="BG12" s="14"/>
      <c r="BH12" s="14"/>
      <c r="BI12" s="14"/>
      <c r="BK12" s="14"/>
      <c r="BL12" s="14"/>
      <c r="BM12" s="14"/>
      <c r="BO12" s="14"/>
      <c r="BP12" s="14"/>
      <c r="BQ12" s="14"/>
      <c r="BS12" s="14"/>
      <c r="BT12" s="14"/>
      <c r="BU12" s="14"/>
    </row>
    <row r="13" spans="2:83" outlineLevel="1" x14ac:dyDescent="0.3">
      <c r="B13" s="1" t="s">
        <v>173</v>
      </c>
      <c r="C13" s="15">
        <v>-1.2333866</v>
      </c>
      <c r="D13" s="14">
        <v>268838.75</v>
      </c>
      <c r="E13" s="15">
        <v>-0.79529260000000002</v>
      </c>
      <c r="F13" s="14">
        <v>241033.57</v>
      </c>
      <c r="G13" s="1" t="str">
        <f t="shared" si="7"/>
        <v>GGM</v>
      </c>
      <c r="I13" s="1" t="s">
        <v>173</v>
      </c>
      <c r="J13" s="33">
        <v>-1.2637936999999999</v>
      </c>
      <c r="K13" s="14">
        <v>270662.7</v>
      </c>
      <c r="L13" s="14">
        <f t="shared" si="8"/>
        <v>29629.130000000005</v>
      </c>
      <c r="N13" s="1" t="s">
        <v>173</v>
      </c>
      <c r="O13" s="33">
        <v>-1933.2909870000001</v>
      </c>
      <c r="P13" s="14">
        <v>7179580</v>
      </c>
      <c r="R13" s="1" t="s">
        <v>173</v>
      </c>
      <c r="S13" s="33">
        <v>-1935.788642</v>
      </c>
      <c r="T13" s="14">
        <v>7184214</v>
      </c>
      <c r="V13" s="1" t="s">
        <v>173</v>
      </c>
      <c r="W13" s="33">
        <v>-179.7974595</v>
      </c>
      <c r="X13" s="14">
        <v>2418834.08</v>
      </c>
      <c r="Z13" s="1" t="s">
        <v>173</v>
      </c>
      <c r="AA13" s="33">
        <v>-29.274857999999998</v>
      </c>
      <c r="AB13" s="14">
        <v>989808</v>
      </c>
      <c r="AD13" s="1" t="s">
        <v>173</v>
      </c>
      <c r="AE13" s="33">
        <v>0.103008</v>
      </c>
      <c r="AF13" s="14">
        <v>170374.3</v>
      </c>
      <c r="AH13" s="1" t="s">
        <v>173</v>
      </c>
      <c r="AI13" s="14">
        <f t="shared" si="0"/>
        <v>7179580</v>
      </c>
      <c r="AJ13" s="14">
        <f t="shared" si="1"/>
        <v>7184214</v>
      </c>
      <c r="AK13" s="14">
        <f t="shared" si="2"/>
        <v>268838.75</v>
      </c>
      <c r="AL13" s="14">
        <f t="shared" si="3"/>
        <v>241033.57</v>
      </c>
      <c r="AM13" s="14">
        <f t="shared" si="4"/>
        <v>2418834.08</v>
      </c>
      <c r="AN13" s="14">
        <f t="shared" si="5"/>
        <v>270662.7</v>
      </c>
      <c r="AO13" s="14">
        <f t="shared" si="6"/>
        <v>989808</v>
      </c>
      <c r="AP13" s="14">
        <f t="shared" si="9"/>
        <v>170374.3</v>
      </c>
      <c r="AT13" s="1" t="s">
        <v>283</v>
      </c>
      <c r="AU13" s="1" t="s">
        <v>189</v>
      </c>
      <c r="AV13" s="12">
        <v>-31.850383799999999</v>
      </c>
      <c r="AW13" s="14">
        <v>786390.35939999996</v>
      </c>
      <c r="BC13" s="14"/>
      <c r="BD13" s="14"/>
      <c r="BE13" s="14"/>
      <c r="BG13" s="14"/>
      <c r="BH13" s="14"/>
      <c r="BI13" s="14"/>
      <c r="BK13" s="14"/>
      <c r="BL13" s="14"/>
      <c r="BM13" s="14"/>
      <c r="BO13" s="14"/>
      <c r="BP13" s="14"/>
      <c r="BQ13" s="14"/>
      <c r="BS13" s="14"/>
      <c r="BT13" s="14"/>
      <c r="BU13" s="14"/>
    </row>
    <row r="14" spans="2:83" outlineLevel="1" x14ac:dyDescent="0.3">
      <c r="B14" s="6" t="s">
        <v>174</v>
      </c>
      <c r="C14" s="16">
        <v>-91.031581299999999</v>
      </c>
      <c r="D14" s="17">
        <v>238687.29</v>
      </c>
      <c r="E14" s="16">
        <v>-96.181229700000003</v>
      </c>
      <c r="F14" s="17">
        <v>245274.3</v>
      </c>
      <c r="G14" s="6" t="str">
        <f t="shared" si="7"/>
        <v>BM</v>
      </c>
      <c r="I14" s="6" t="s">
        <v>174</v>
      </c>
      <c r="J14" s="34">
        <v>-89.237210300000001</v>
      </c>
      <c r="K14" s="17">
        <v>236349</v>
      </c>
      <c r="L14" s="17">
        <f t="shared" si="8"/>
        <v>-8925.2999999999884</v>
      </c>
      <c r="N14" s="6" t="s">
        <v>174</v>
      </c>
      <c r="O14" s="34">
        <v>-1799.8141330000001</v>
      </c>
      <c r="P14" s="17">
        <v>996737.1</v>
      </c>
      <c r="R14" s="6" t="s">
        <v>174</v>
      </c>
      <c r="S14" s="34">
        <v>-1795.435129</v>
      </c>
      <c r="T14" s="17">
        <v>995524.5</v>
      </c>
      <c r="V14" s="6" t="s">
        <v>174</v>
      </c>
      <c r="W14" s="34">
        <v>-5.0710414999999998</v>
      </c>
      <c r="X14" s="17">
        <v>61304.51</v>
      </c>
      <c r="Z14" s="6" t="s">
        <v>174</v>
      </c>
      <c r="AA14" s="34">
        <v>-83.509297000000004</v>
      </c>
      <c r="AB14" s="17">
        <v>228724.7</v>
      </c>
      <c r="AD14" s="6" t="s">
        <v>174</v>
      </c>
      <c r="AE14" s="34">
        <v>-0.475381</v>
      </c>
      <c r="AF14" s="17">
        <v>30221.29</v>
      </c>
      <c r="AH14" s="6" t="s">
        <v>174</v>
      </c>
      <c r="AI14" s="14">
        <f t="shared" si="0"/>
        <v>996737.1</v>
      </c>
      <c r="AJ14" s="14">
        <f t="shared" si="1"/>
        <v>995524.5</v>
      </c>
      <c r="AK14" s="14">
        <f t="shared" si="2"/>
        <v>238687.29</v>
      </c>
      <c r="AL14" s="14">
        <f t="shared" si="3"/>
        <v>245274.3</v>
      </c>
      <c r="AM14" s="14">
        <f t="shared" si="4"/>
        <v>61304.51</v>
      </c>
      <c r="AN14" s="14">
        <f t="shared" si="5"/>
        <v>236349</v>
      </c>
      <c r="AO14" s="14">
        <f t="shared" si="6"/>
        <v>228724.7</v>
      </c>
      <c r="AP14" s="14">
        <f t="shared" si="9"/>
        <v>30221.29</v>
      </c>
      <c r="AT14" s="6" t="s">
        <v>283</v>
      </c>
      <c r="AU14" s="6" t="s">
        <v>33</v>
      </c>
      <c r="AV14" s="18">
        <v>-0.82254159999999998</v>
      </c>
      <c r="AW14" s="17">
        <v>185228.0214</v>
      </c>
      <c r="BC14" s="14"/>
      <c r="BD14" s="14"/>
      <c r="BE14" s="14"/>
      <c r="BG14" s="14"/>
      <c r="BH14" s="14"/>
      <c r="BI14" s="14"/>
      <c r="BK14" s="14"/>
      <c r="BL14" s="14"/>
      <c r="BM14" s="14"/>
      <c r="BO14" s="14"/>
      <c r="BP14" s="14"/>
      <c r="BQ14" s="14"/>
      <c r="BS14" s="14"/>
      <c r="BT14" s="14"/>
      <c r="BU14" s="14"/>
      <c r="BW14" s="1" t="s">
        <v>343</v>
      </c>
    </row>
    <row r="15" spans="2:83" outlineLevel="1" x14ac:dyDescent="0.3">
      <c r="B15" s="1" t="s">
        <v>175</v>
      </c>
      <c r="C15" s="15">
        <v>-56.708334700000002</v>
      </c>
      <c r="D15" s="14">
        <v>166922.54</v>
      </c>
      <c r="E15" s="15">
        <v>-103.01634919999999</v>
      </c>
      <c r="F15" s="14">
        <v>224102.41</v>
      </c>
      <c r="G15" s="1" t="str">
        <f t="shared" si="7"/>
        <v>BM</v>
      </c>
      <c r="I15" s="1" t="s">
        <v>176</v>
      </c>
      <c r="J15" s="33">
        <v>-12.7604203</v>
      </c>
      <c r="K15" s="14">
        <v>13084624.699999999</v>
      </c>
      <c r="L15" s="14">
        <f t="shared" si="8"/>
        <v>12860522.289999999</v>
      </c>
      <c r="N15" s="1" t="s">
        <v>176</v>
      </c>
      <c r="O15" s="33">
        <v>-779.10362199999997</v>
      </c>
      <c r="P15" s="14">
        <v>98519360</v>
      </c>
      <c r="R15" s="1" t="s">
        <v>176</v>
      </c>
      <c r="S15" s="33">
        <v>-779.06910800000003</v>
      </c>
      <c r="T15" s="14">
        <v>98517180</v>
      </c>
      <c r="V15" s="1" t="s">
        <v>176</v>
      </c>
      <c r="W15" s="33">
        <v>0.20104150000000001</v>
      </c>
      <c r="X15" s="14">
        <v>3152880.72</v>
      </c>
      <c r="Z15" s="1" t="s">
        <v>176</v>
      </c>
      <c r="AA15" s="33">
        <v>-25.673124000000001</v>
      </c>
      <c r="AB15" s="14">
        <v>18217230</v>
      </c>
      <c r="AD15" s="1" t="s">
        <v>176</v>
      </c>
      <c r="AE15" s="33">
        <v>0.66067100000000001</v>
      </c>
      <c r="AF15" s="14">
        <v>2054735</v>
      </c>
      <c r="AH15" s="1" t="s">
        <v>176</v>
      </c>
      <c r="AI15" s="14">
        <f t="shared" si="0"/>
        <v>98519360</v>
      </c>
      <c r="AJ15" s="14">
        <f t="shared" si="1"/>
        <v>98517180</v>
      </c>
      <c r="AK15" s="14">
        <f t="shared" si="2"/>
        <v>14385138.210000001</v>
      </c>
      <c r="AL15" s="14">
        <f t="shared" si="3"/>
        <v>13084619.300000001</v>
      </c>
      <c r="AM15" s="14">
        <f t="shared" si="4"/>
        <v>3152880.72</v>
      </c>
      <c r="AN15" s="14">
        <f t="shared" si="5"/>
        <v>13084624.699999999</v>
      </c>
      <c r="AO15" s="14">
        <f t="shared" si="6"/>
        <v>18217230</v>
      </c>
      <c r="AP15" s="14">
        <f t="shared" si="9"/>
        <v>2054735</v>
      </c>
      <c r="BC15" s="14"/>
      <c r="BD15" s="14"/>
      <c r="BE15" s="14"/>
      <c r="BG15" s="14"/>
      <c r="BH15" s="14"/>
      <c r="BI15" s="14"/>
      <c r="BK15" s="14"/>
      <c r="BL15" s="14"/>
      <c r="BM15" s="14"/>
      <c r="BO15" s="14"/>
      <c r="BP15" s="14"/>
      <c r="BQ15" s="14"/>
      <c r="BS15" s="14"/>
      <c r="BT15" s="14"/>
      <c r="BU15" s="14"/>
      <c r="BW15" s="9" t="s">
        <v>326</v>
      </c>
      <c r="BX15" s="9" t="s">
        <v>290</v>
      </c>
      <c r="BY15" s="9" t="s">
        <v>291</v>
      </c>
      <c r="BZ15" s="9" t="s">
        <v>292</v>
      </c>
      <c r="CA15" s="9" t="s">
        <v>293</v>
      </c>
      <c r="CB15" s="9" t="s">
        <v>294</v>
      </c>
      <c r="CC15" s="9" t="s">
        <v>295</v>
      </c>
      <c r="CD15" s="9" t="s">
        <v>230</v>
      </c>
      <c r="CE15" s="9" t="s">
        <v>311</v>
      </c>
    </row>
    <row r="16" spans="2:83" outlineLevel="1" x14ac:dyDescent="0.3">
      <c r="B16" s="6" t="s">
        <v>176</v>
      </c>
      <c r="C16" s="16">
        <v>-15.631722699999999</v>
      </c>
      <c r="D16" s="17">
        <v>14385138.210000001</v>
      </c>
      <c r="E16" s="16">
        <v>-12.7604089</v>
      </c>
      <c r="F16" s="17">
        <v>13084619.300000001</v>
      </c>
      <c r="G16" s="6" t="str">
        <f t="shared" si="7"/>
        <v>GGM</v>
      </c>
      <c r="I16" s="6" t="s">
        <v>175</v>
      </c>
      <c r="J16" s="34">
        <v>-86.961009899999993</v>
      </c>
      <c r="K16" s="17">
        <v>206082.4</v>
      </c>
      <c r="L16" s="17">
        <f t="shared" si="8"/>
        <v>-12878536.9</v>
      </c>
      <c r="N16" s="6" t="s">
        <v>175</v>
      </c>
      <c r="O16" s="34">
        <v>-2140.578501</v>
      </c>
      <c r="P16" s="17">
        <v>1000999</v>
      </c>
      <c r="R16" s="6" t="s">
        <v>175</v>
      </c>
      <c r="S16" s="34">
        <v>-2138.2510229999998</v>
      </c>
      <c r="T16" s="17">
        <v>1000455</v>
      </c>
      <c r="V16" s="6" t="s">
        <v>175</v>
      </c>
      <c r="W16" s="34">
        <v>0.41362320000000002</v>
      </c>
      <c r="X16" s="17">
        <v>16826.12</v>
      </c>
      <c r="Z16" s="6" t="s">
        <v>175</v>
      </c>
      <c r="AA16" s="34">
        <v>-77.961535999999995</v>
      </c>
      <c r="AB16" s="17">
        <v>195255.6</v>
      </c>
      <c r="AD16" s="6" t="s">
        <v>175</v>
      </c>
      <c r="AE16" s="34">
        <v>0.882351</v>
      </c>
      <c r="AF16" s="17">
        <v>7536.8639999999996</v>
      </c>
      <c r="AH16" s="6" t="s">
        <v>175</v>
      </c>
      <c r="AI16" s="14">
        <f t="shared" si="0"/>
        <v>1000999</v>
      </c>
      <c r="AJ16" s="14">
        <f t="shared" si="1"/>
        <v>1000455</v>
      </c>
      <c r="AK16" s="14">
        <f t="shared" si="2"/>
        <v>166922.54</v>
      </c>
      <c r="AL16" s="14">
        <f t="shared" si="3"/>
        <v>224102.41</v>
      </c>
      <c r="AM16" s="14">
        <f t="shared" si="4"/>
        <v>16826.12</v>
      </c>
      <c r="AN16" s="14">
        <f t="shared" si="5"/>
        <v>206082.4</v>
      </c>
      <c r="AO16" s="14">
        <f t="shared" si="6"/>
        <v>195255.6</v>
      </c>
      <c r="AP16" s="14">
        <f t="shared" si="9"/>
        <v>7536.8639999999996</v>
      </c>
      <c r="BC16" s="14"/>
      <c r="BD16" s="14"/>
      <c r="BE16" s="14"/>
      <c r="BG16" s="14"/>
      <c r="BH16" s="14"/>
      <c r="BI16" s="14"/>
      <c r="BK16" s="14"/>
      <c r="BL16" s="14"/>
      <c r="BM16" s="14"/>
      <c r="BO16" s="14"/>
      <c r="BP16" s="14"/>
      <c r="BQ16" s="14"/>
      <c r="BS16" s="14"/>
      <c r="BT16" s="14"/>
      <c r="BU16" s="14"/>
      <c r="BW16" s="1" t="s">
        <v>327</v>
      </c>
      <c r="BX16" s="14">
        <v>6.5000390000000001</v>
      </c>
      <c r="BY16" s="14">
        <v>23.705583000000001</v>
      </c>
      <c r="BZ16" s="14">
        <v>1.312819</v>
      </c>
      <c r="CA16" s="14">
        <v>1.3858550000000001</v>
      </c>
      <c r="CB16" s="14">
        <v>24.441410999999999</v>
      </c>
      <c r="CC16" s="14">
        <v>9.3939389999999996</v>
      </c>
      <c r="CD16" s="14">
        <v>109.669701</v>
      </c>
      <c r="CE16" s="14">
        <v>31.725518000000001</v>
      </c>
    </row>
    <row r="17" spans="34:83" x14ac:dyDescent="0.3">
      <c r="BW17" s="6" t="s">
        <v>192</v>
      </c>
      <c r="BX17" s="17">
        <v>28631.619245999998</v>
      </c>
      <c r="BY17" s="17">
        <v>45811.162887999999</v>
      </c>
      <c r="BZ17" s="17">
        <v>937.95254799999998</v>
      </c>
      <c r="CA17" s="17">
        <v>450.39849199999998</v>
      </c>
      <c r="CB17" s="17">
        <v>47791.344292000002</v>
      </c>
      <c r="CC17" s="17">
        <v>14177.064490999999</v>
      </c>
      <c r="CD17" s="17">
        <v>121112.837029</v>
      </c>
      <c r="CE17" s="17">
        <v>5855.042743</v>
      </c>
    </row>
    <row r="18" spans="34:83" x14ac:dyDescent="0.3">
      <c r="BW18" s="1" t="s">
        <v>328</v>
      </c>
      <c r="BX18" s="14">
        <v>7253.7510709999997</v>
      </c>
      <c r="BY18" s="14">
        <v>16866.313760000001</v>
      </c>
      <c r="BZ18" s="14">
        <v>2231.3267719999999</v>
      </c>
      <c r="CA18" s="14">
        <v>57.783405999999999</v>
      </c>
      <c r="CB18" s="14">
        <v>17332.664193000001</v>
      </c>
      <c r="CC18" s="14">
        <v>928.31180199999994</v>
      </c>
      <c r="CD18" s="14">
        <v>48213.643342000003</v>
      </c>
      <c r="CE18" s="14">
        <v>8510.9496409999992</v>
      </c>
    </row>
    <row r="19" spans="34:83" x14ac:dyDescent="0.3">
      <c r="BW19" s="6" t="s">
        <v>193</v>
      </c>
      <c r="BX19" s="17">
        <v>11.312836000000001</v>
      </c>
      <c r="BY19" s="17">
        <v>11.884532</v>
      </c>
      <c r="BZ19" s="17">
        <v>1.5555490000000001</v>
      </c>
      <c r="CA19" s="17">
        <v>1.3179190000000001</v>
      </c>
      <c r="CB19" s="17">
        <v>12.5166</v>
      </c>
      <c r="CC19" s="17">
        <v>9.2154480000000003</v>
      </c>
      <c r="CD19" s="17">
        <v>70.252651999999998</v>
      </c>
      <c r="CE19" s="17">
        <v>16.767234999999999</v>
      </c>
    </row>
    <row r="20" spans="34:83" x14ac:dyDescent="0.3">
      <c r="AH20" s="1" t="s">
        <v>247</v>
      </c>
      <c r="BW20" s="19"/>
      <c r="BX20" s="19"/>
      <c r="BY20" s="19"/>
      <c r="BZ20" s="13"/>
      <c r="CA20" s="13"/>
      <c r="CB20" s="13"/>
    </row>
    <row r="21" spans="34:83" x14ac:dyDescent="0.3">
      <c r="AH21" s="9" t="s">
        <v>162</v>
      </c>
      <c r="AI21" s="9" t="s">
        <v>290</v>
      </c>
      <c r="AJ21" s="9" t="s">
        <v>291</v>
      </c>
      <c r="AK21" s="9" t="s">
        <v>292</v>
      </c>
      <c r="AL21" s="9" t="s">
        <v>293</v>
      </c>
      <c r="AM21" s="9" t="s">
        <v>294</v>
      </c>
      <c r="AN21" s="9" t="s">
        <v>295</v>
      </c>
      <c r="AO21" s="9" t="s">
        <v>230</v>
      </c>
      <c r="BW21" s="13"/>
      <c r="BX21" s="13"/>
      <c r="BY21" s="13"/>
      <c r="BZ21" s="13"/>
      <c r="CA21" s="13"/>
      <c r="CB21" s="13"/>
    </row>
    <row r="22" spans="34:83" x14ac:dyDescent="0.3">
      <c r="AH22" s="1" t="s">
        <v>168</v>
      </c>
      <c r="AI22" s="14">
        <v>8441809</v>
      </c>
      <c r="AJ22" s="14">
        <v>6741888</v>
      </c>
      <c r="AK22" s="14">
        <v>217327.9</v>
      </c>
      <c r="AL22" s="14">
        <v>217397.7</v>
      </c>
      <c r="AM22" s="14">
        <v>7258473</v>
      </c>
      <c r="AN22" s="14">
        <v>923421.7</v>
      </c>
      <c r="AO22" s="14">
        <v>22672170</v>
      </c>
      <c r="BW22" s="13"/>
      <c r="BX22" s="13"/>
      <c r="BY22" s="13"/>
      <c r="BZ22" s="13"/>
      <c r="CA22" s="13"/>
      <c r="CB22" s="13"/>
    </row>
    <row r="23" spans="34:83" ht="16.8" x14ac:dyDescent="0.3">
      <c r="AH23" s="6" t="s">
        <v>169</v>
      </c>
      <c r="AI23" s="14">
        <v>4189569</v>
      </c>
      <c r="AJ23" s="14">
        <v>1319308</v>
      </c>
      <c r="AK23" s="14">
        <v>122447.2</v>
      </c>
      <c r="AL23" s="14">
        <v>122322.1</v>
      </c>
      <c r="AM23" s="14">
        <v>1430908</v>
      </c>
      <c r="AN23" s="14">
        <v>3468436</v>
      </c>
      <c r="AO23" s="14">
        <v>24316190</v>
      </c>
      <c r="BC23" s="27"/>
      <c r="BD23" s="27"/>
      <c r="BE23" s="27"/>
      <c r="BG23" s="27"/>
      <c r="BH23" s="27"/>
      <c r="BI23" s="27"/>
      <c r="BK23" s="27"/>
      <c r="BL23" s="27"/>
      <c r="BO23" s="27"/>
      <c r="BP23" s="27"/>
      <c r="BQ23" s="27"/>
      <c r="BS23" s="27"/>
      <c r="BT23" s="27"/>
      <c r="BU23" s="27"/>
    </row>
    <row r="24" spans="34:83" ht="16.8" x14ac:dyDescent="0.3">
      <c r="AH24" s="1" t="s">
        <v>172</v>
      </c>
      <c r="AI24" s="14">
        <v>43852750</v>
      </c>
      <c r="AJ24" s="14">
        <v>39165530</v>
      </c>
      <c r="AK24" s="14">
        <v>2108284</v>
      </c>
      <c r="AL24" s="14">
        <v>2108237</v>
      </c>
      <c r="AM24" s="14">
        <v>41151780</v>
      </c>
      <c r="AN24" s="14">
        <v>2839716</v>
      </c>
      <c r="AO24" s="14">
        <v>122159800</v>
      </c>
      <c r="BC24" s="27"/>
      <c r="BD24" s="28"/>
      <c r="BE24" s="28"/>
      <c r="BG24" s="28"/>
      <c r="BH24" s="28"/>
      <c r="BI24" s="28"/>
      <c r="BK24" s="28"/>
      <c r="BL24" s="28"/>
      <c r="BM24" s="28"/>
      <c r="BO24" s="28"/>
      <c r="BP24" s="28"/>
      <c r="BQ24" s="28"/>
      <c r="BS24" s="28"/>
      <c r="BT24" s="28"/>
      <c r="BU24" s="28"/>
    </row>
    <row r="25" spans="34:83" ht="16.8" x14ac:dyDescent="0.3">
      <c r="AH25" s="6" t="s">
        <v>173</v>
      </c>
      <c r="AI25" s="14">
        <v>8964942</v>
      </c>
      <c r="AJ25" s="14">
        <v>8945718</v>
      </c>
      <c r="AK25" s="14">
        <v>369454.8</v>
      </c>
      <c r="AL25" s="14">
        <v>368821.8</v>
      </c>
      <c r="AM25" s="14">
        <v>8818598</v>
      </c>
      <c r="AN25" s="14">
        <v>2741323</v>
      </c>
      <c r="AO25" s="14">
        <v>30861490</v>
      </c>
      <c r="BC25" s="27"/>
      <c r="BD25" s="28"/>
      <c r="BE25" s="28"/>
      <c r="BG25" s="28"/>
      <c r="BH25" s="28"/>
      <c r="BI25" s="28"/>
      <c r="BK25" s="28"/>
      <c r="BL25" s="28"/>
      <c r="BM25" s="28"/>
      <c r="BO25" s="28"/>
      <c r="BP25" s="28"/>
      <c r="BQ25" s="28"/>
      <c r="BS25" s="28"/>
      <c r="BT25" s="28"/>
      <c r="BU25" s="28"/>
      <c r="BX25" s="1" t="s">
        <v>311</v>
      </c>
    </row>
    <row r="26" spans="34:83" ht="16.8" x14ac:dyDescent="0.3">
      <c r="AH26" s="1" t="s">
        <v>176</v>
      </c>
      <c r="AI26" s="14">
        <v>97036170</v>
      </c>
      <c r="AJ26" s="14">
        <v>91167670</v>
      </c>
      <c r="AK26" s="14">
        <v>2541037</v>
      </c>
      <c r="AL26" s="14">
        <v>2547046</v>
      </c>
      <c r="AM26" s="14">
        <v>104857300</v>
      </c>
      <c r="AN26" s="14">
        <v>16466860</v>
      </c>
      <c r="AO26" s="14">
        <v>426086200</v>
      </c>
      <c r="BC26" s="27"/>
      <c r="BD26" s="28"/>
      <c r="BE26" s="28"/>
      <c r="BG26" s="28"/>
      <c r="BH26" s="28"/>
      <c r="BI26" s="28"/>
      <c r="BK26" s="28"/>
      <c r="BL26" s="28"/>
      <c r="BM26" s="28"/>
      <c r="BO26" s="28"/>
      <c r="BP26" s="28"/>
      <c r="BQ26" s="28"/>
      <c r="BS26" s="28"/>
      <c r="BT26" s="28"/>
      <c r="BU26" s="28"/>
      <c r="BX26" s="9" t="s">
        <v>192</v>
      </c>
      <c r="BY26" s="9" t="s">
        <v>193</v>
      </c>
      <c r="BZ26" s="9" t="s">
        <v>327</v>
      </c>
      <c r="CA26" s="9" t="s">
        <v>328</v>
      </c>
    </row>
    <row r="27" spans="34:83" x14ac:dyDescent="0.3">
      <c r="BX27" s="1" t="s">
        <v>298</v>
      </c>
      <c r="BY27" s="1" t="s">
        <v>298</v>
      </c>
      <c r="BZ27" s="1" t="s">
        <v>298</v>
      </c>
      <c r="CA27" s="1" t="s">
        <v>298</v>
      </c>
    </row>
    <row r="28" spans="34:83" x14ac:dyDescent="0.3">
      <c r="BX28" s="6" t="s">
        <v>330</v>
      </c>
      <c r="BY28" s="6" t="s">
        <v>329</v>
      </c>
      <c r="BZ28" s="6" t="s">
        <v>332</v>
      </c>
      <c r="CA28" s="6" t="s">
        <v>333</v>
      </c>
    </row>
    <row r="29" spans="34:83" x14ac:dyDescent="0.3">
      <c r="AH29" s="29" t="s">
        <v>296</v>
      </c>
      <c r="BX29" s="1" t="s">
        <v>334</v>
      </c>
      <c r="BY29" s="1" t="s">
        <v>331</v>
      </c>
      <c r="BZ29" s="1" t="s">
        <v>336</v>
      </c>
      <c r="CA29" s="1" t="s">
        <v>344</v>
      </c>
    </row>
    <row r="30" spans="34:83" x14ac:dyDescent="0.3">
      <c r="AH30" s="9" t="s">
        <v>162</v>
      </c>
      <c r="AI30" s="9" t="s">
        <v>290</v>
      </c>
      <c r="AJ30" s="9" t="s">
        <v>291</v>
      </c>
      <c r="AK30" s="9" t="s">
        <v>292</v>
      </c>
      <c r="AL30" s="9" t="s">
        <v>293</v>
      </c>
      <c r="AM30" s="9" t="s">
        <v>294</v>
      </c>
      <c r="AN30" s="9" t="s">
        <v>295</v>
      </c>
      <c r="AO30" s="9" t="s">
        <v>230</v>
      </c>
      <c r="AP30" s="9" t="s">
        <v>311</v>
      </c>
      <c r="BX30" s="6" t="s">
        <v>337</v>
      </c>
      <c r="BY30" s="6" t="s">
        <v>345</v>
      </c>
      <c r="BZ30" s="6" t="s">
        <v>340</v>
      </c>
      <c r="CA30" s="6" t="s">
        <v>308</v>
      </c>
    </row>
    <row r="31" spans="34:83" x14ac:dyDescent="0.3">
      <c r="AH31" s="1" t="s">
        <v>168</v>
      </c>
      <c r="AI31" s="14">
        <v>8545518</v>
      </c>
      <c r="AJ31" s="14">
        <v>7276467</v>
      </c>
      <c r="AK31" s="14">
        <v>45099.8</v>
      </c>
      <c r="AL31" s="14">
        <v>40432.839999999997</v>
      </c>
      <c r="AM31" s="14">
        <v>7678303</v>
      </c>
      <c r="AN31" s="14">
        <v>963486.9</v>
      </c>
      <c r="AO31" s="14">
        <v>22698710</v>
      </c>
      <c r="AP31" s="14">
        <v>7268706</v>
      </c>
      <c r="BX31" s="1" t="s">
        <v>346</v>
      </c>
      <c r="BY31" s="1" t="s">
        <v>344</v>
      </c>
      <c r="CA31" s="1" t="s">
        <v>347</v>
      </c>
    </row>
    <row r="32" spans="34:83" x14ac:dyDescent="0.3">
      <c r="AH32" s="6" t="s">
        <v>169</v>
      </c>
      <c r="AI32" s="14">
        <v>3983888</v>
      </c>
      <c r="AJ32" s="14">
        <v>1321752</v>
      </c>
      <c r="AK32" s="14">
        <v>114767.7</v>
      </c>
      <c r="AL32" s="14">
        <v>148072.1</v>
      </c>
      <c r="AM32" s="14">
        <v>1455460</v>
      </c>
      <c r="AN32" s="14">
        <v>3324201</v>
      </c>
      <c r="AO32" s="14">
        <v>23558110</v>
      </c>
      <c r="AP32" s="14">
        <v>1387276</v>
      </c>
      <c r="BX32" s="6" t="s">
        <v>338</v>
      </c>
      <c r="BY32" s="6" t="s">
        <v>308</v>
      </c>
      <c r="BZ32" s="6"/>
      <c r="CA32" s="6" t="s">
        <v>324</v>
      </c>
    </row>
    <row r="33" spans="34:79" x14ac:dyDescent="0.3">
      <c r="AH33" s="1" t="s">
        <v>172</v>
      </c>
      <c r="AI33" s="14">
        <v>45450350</v>
      </c>
      <c r="AJ33" s="14">
        <v>36017980</v>
      </c>
      <c r="AK33" s="14">
        <v>328257.59999999998</v>
      </c>
      <c r="AL33" s="14">
        <v>327651.09999999998</v>
      </c>
      <c r="AM33" s="14">
        <v>39467590</v>
      </c>
      <c r="AN33" s="14">
        <v>4967453</v>
      </c>
      <c r="AO33" s="14">
        <v>123353700</v>
      </c>
      <c r="AP33" s="14">
        <v>86397360</v>
      </c>
      <c r="BX33" s="1" t="s">
        <v>348</v>
      </c>
      <c r="BY33" s="1" t="s">
        <v>335</v>
      </c>
      <c r="CA33" s="1" t="s">
        <v>305</v>
      </c>
    </row>
    <row r="34" spans="34:79" x14ac:dyDescent="0.3">
      <c r="AH34" s="6" t="s">
        <v>173</v>
      </c>
      <c r="AI34" s="14">
        <v>9150194</v>
      </c>
      <c r="AJ34" s="14">
        <v>9187983</v>
      </c>
      <c r="AK34" s="14">
        <v>143265.1</v>
      </c>
      <c r="AL34" s="14">
        <v>160340.1</v>
      </c>
      <c r="AM34" s="14">
        <v>8707002</v>
      </c>
      <c r="AN34" s="14">
        <v>2793362</v>
      </c>
      <c r="AO34" s="14">
        <v>31047740</v>
      </c>
      <c r="AP34" s="14">
        <v>6536393</v>
      </c>
      <c r="BX34" s="6"/>
      <c r="BY34" s="6" t="s">
        <v>339</v>
      </c>
      <c r="BZ34" s="6"/>
      <c r="CA34" s="6"/>
    </row>
    <row r="35" spans="34:79" x14ac:dyDescent="0.3">
      <c r="AH35" s="1" t="s">
        <v>176</v>
      </c>
      <c r="AI35" s="14">
        <v>97801220</v>
      </c>
      <c r="AJ35" s="14">
        <v>88807950</v>
      </c>
      <c r="AK35" s="14">
        <v>1981908</v>
      </c>
      <c r="AL35" s="14">
        <v>1751053</v>
      </c>
      <c r="AM35" s="14">
        <v>102744800</v>
      </c>
      <c r="AN35" s="14">
        <v>15589460</v>
      </c>
      <c r="AO35" s="14">
        <v>427453400</v>
      </c>
      <c r="AP35" s="14">
        <v>259778200</v>
      </c>
      <c r="BY35" s="1" t="s">
        <v>341</v>
      </c>
    </row>
    <row r="36" spans="34:79" x14ac:dyDescent="0.3">
      <c r="BX36" s="6"/>
      <c r="BY36" s="6" t="s">
        <v>349</v>
      </c>
      <c r="BZ36" s="6"/>
      <c r="CA36" s="6"/>
    </row>
    <row r="37" spans="34:79" x14ac:dyDescent="0.3">
      <c r="BY37" s="1" t="s">
        <v>342</v>
      </c>
    </row>
    <row r="38" spans="34:79" x14ac:dyDescent="0.3">
      <c r="AH38" s="1" t="s">
        <v>297</v>
      </c>
    </row>
    <row r="39" spans="34:79" x14ac:dyDescent="0.3">
      <c r="AH39" s="9" t="s">
        <v>162</v>
      </c>
      <c r="AI39" s="9" t="s">
        <v>290</v>
      </c>
      <c r="AJ39" s="9" t="s">
        <v>291</v>
      </c>
      <c r="AK39" s="9" t="s">
        <v>292</v>
      </c>
      <c r="AL39" s="9" t="s">
        <v>293</v>
      </c>
      <c r="AM39" s="9" t="s">
        <v>294</v>
      </c>
      <c r="AN39" s="9" t="s">
        <v>295</v>
      </c>
      <c r="AO39" s="9" t="s">
        <v>230</v>
      </c>
    </row>
    <row r="40" spans="34:79" x14ac:dyDescent="0.3">
      <c r="AH40" s="1" t="s">
        <v>168</v>
      </c>
      <c r="AI40" s="14">
        <v>8333632</v>
      </c>
      <c r="AJ40" s="14">
        <v>7639386</v>
      </c>
      <c r="AK40" s="14">
        <v>318639</v>
      </c>
      <c r="AL40" s="14">
        <v>318678.2</v>
      </c>
      <c r="AM40" s="14">
        <v>7553660</v>
      </c>
      <c r="AN40" s="14">
        <v>1062718</v>
      </c>
      <c r="AO40" s="14">
        <v>22730730</v>
      </c>
      <c r="AP40" s="14"/>
    </row>
    <row r="41" spans="34:79" x14ac:dyDescent="0.3">
      <c r="AH41" s="6" t="s">
        <v>169</v>
      </c>
      <c r="AI41" s="14">
        <v>4180177</v>
      </c>
      <c r="AJ41" s="14">
        <v>1297426</v>
      </c>
      <c r="AK41" s="14">
        <v>1861296</v>
      </c>
      <c r="AL41" s="14">
        <v>1861223</v>
      </c>
      <c r="AM41" s="14">
        <v>1367516</v>
      </c>
      <c r="AN41" s="14">
        <v>3854216</v>
      </c>
      <c r="AO41" s="14">
        <v>21256800</v>
      </c>
      <c r="AP41" s="14"/>
    </row>
    <row r="42" spans="34:79" x14ac:dyDescent="0.3">
      <c r="AH42" s="1" t="s">
        <v>172</v>
      </c>
      <c r="AI42" s="14">
        <v>45846120</v>
      </c>
      <c r="AJ42" s="14">
        <v>39437130</v>
      </c>
      <c r="AK42" s="14">
        <v>3234668</v>
      </c>
      <c r="AL42" s="14">
        <v>3234677</v>
      </c>
      <c r="AM42" s="14">
        <v>43241250</v>
      </c>
      <c r="AN42" s="14">
        <v>5947889</v>
      </c>
      <c r="AO42" s="14">
        <v>127592700</v>
      </c>
      <c r="AP42" s="14"/>
    </row>
    <row r="43" spans="34:79" x14ac:dyDescent="0.3">
      <c r="AH43" s="6" t="s">
        <v>173</v>
      </c>
      <c r="AI43" s="14">
        <v>8779838</v>
      </c>
      <c r="AJ43" s="14">
        <v>8789270</v>
      </c>
      <c r="AK43" s="14">
        <v>1096361</v>
      </c>
      <c r="AL43" s="14">
        <v>1097970</v>
      </c>
      <c r="AM43" s="14">
        <v>8932713</v>
      </c>
      <c r="AN43" s="14">
        <v>2712343</v>
      </c>
      <c r="AO43" s="14">
        <v>31673230</v>
      </c>
      <c r="AP43" s="14"/>
    </row>
    <row r="44" spans="34:79" x14ac:dyDescent="0.3">
      <c r="AH44" s="1" t="s">
        <v>176</v>
      </c>
      <c r="AI44" s="14">
        <v>84855730</v>
      </c>
      <c r="AJ44" s="14">
        <v>76684460</v>
      </c>
      <c r="AK44" s="14">
        <v>21991510</v>
      </c>
      <c r="AL44" s="14">
        <v>22016230</v>
      </c>
      <c r="AM44" s="14">
        <v>93464800</v>
      </c>
      <c r="AN44" s="14">
        <v>16716870</v>
      </c>
      <c r="AO44" s="14">
        <v>433487500</v>
      </c>
      <c r="AP44" s="14"/>
    </row>
    <row r="49" spans="34:38" x14ac:dyDescent="0.3">
      <c r="AH49" s="1" t="s">
        <v>304</v>
      </c>
    </row>
    <row r="50" spans="34:38" x14ac:dyDescent="0.3">
      <c r="AH50" s="9" t="s">
        <v>168</v>
      </c>
      <c r="AI50" s="9" t="s">
        <v>169</v>
      </c>
      <c r="AJ50" s="9" t="s">
        <v>172</v>
      </c>
      <c r="AK50" s="9" t="s">
        <v>173</v>
      </c>
      <c r="AL50" s="9" t="s">
        <v>176</v>
      </c>
    </row>
    <row r="51" spans="34:38" x14ac:dyDescent="0.3">
      <c r="AH51" s="1" t="s">
        <v>298</v>
      </c>
      <c r="AI51" s="1" t="s">
        <v>299</v>
      </c>
      <c r="AJ51" s="1" t="s">
        <v>299</v>
      </c>
      <c r="AK51" s="1" t="s">
        <v>299</v>
      </c>
      <c r="AL51" s="1" t="s">
        <v>299</v>
      </c>
    </row>
    <row r="52" spans="34:38" x14ac:dyDescent="0.3">
      <c r="AH52" s="6" t="s">
        <v>299</v>
      </c>
      <c r="AI52" s="6" t="s">
        <v>308</v>
      </c>
      <c r="AJ52" s="6" t="s">
        <v>316</v>
      </c>
      <c r="AK52" s="6" t="s">
        <v>316</v>
      </c>
      <c r="AL52" s="6" t="s">
        <v>317</v>
      </c>
    </row>
    <row r="53" spans="34:38" x14ac:dyDescent="0.3">
      <c r="AH53" s="1" t="s">
        <v>316</v>
      </c>
      <c r="AI53" s="1" t="s">
        <v>318</v>
      </c>
      <c r="AJ53" s="1" t="s">
        <v>300</v>
      </c>
      <c r="AK53" s="1" t="s">
        <v>319</v>
      </c>
      <c r="AL53" s="1" t="s">
        <v>300</v>
      </c>
    </row>
    <row r="54" spans="34:38" x14ac:dyDescent="0.3">
      <c r="AH54" s="6" t="s">
        <v>302</v>
      </c>
      <c r="AI54" s="6" t="s">
        <v>300</v>
      </c>
      <c r="AJ54" s="6" t="s">
        <v>320</v>
      </c>
      <c r="AK54" s="6" t="s">
        <v>302</v>
      </c>
      <c r="AL54" s="6" t="s">
        <v>310</v>
      </c>
    </row>
    <row r="55" spans="34:38" x14ac:dyDescent="0.3">
      <c r="AH55" s="1" t="s">
        <v>303</v>
      </c>
      <c r="AI55" s="1" t="s">
        <v>321</v>
      </c>
      <c r="AJ55" s="1" t="s">
        <v>321</v>
      </c>
      <c r="AK55" s="1" t="s">
        <v>303</v>
      </c>
      <c r="AL55" s="1" t="s">
        <v>322</v>
      </c>
    </row>
    <row r="56" spans="34:38" x14ac:dyDescent="0.3">
      <c r="AH56" s="6" t="s">
        <v>307</v>
      </c>
      <c r="AI56" s="6" t="s">
        <v>301</v>
      </c>
      <c r="AJ56" s="6" t="s">
        <v>301</v>
      </c>
      <c r="AK56" s="6"/>
      <c r="AL56" s="6"/>
    </row>
    <row r="57" spans="34:38" x14ac:dyDescent="0.3">
      <c r="AH57" s="1" t="s">
        <v>323</v>
      </c>
      <c r="AI57" s="1" t="s">
        <v>302</v>
      </c>
      <c r="AJ57" s="1" t="s">
        <v>324</v>
      </c>
    </row>
    <row r="58" spans="34:38" x14ac:dyDescent="0.3">
      <c r="AH58" s="6"/>
      <c r="AI58" s="6" t="s">
        <v>309</v>
      </c>
      <c r="AJ58" s="6"/>
      <c r="AK58" s="6"/>
      <c r="AL58" s="6"/>
    </row>
    <row r="59" spans="34:38" x14ac:dyDescent="0.3">
      <c r="AI59" s="1" t="s">
        <v>305</v>
      </c>
    </row>
    <row r="60" spans="34:38" x14ac:dyDescent="0.3">
      <c r="AH60" s="6"/>
      <c r="AI60" s="6" t="s">
        <v>325</v>
      </c>
      <c r="AJ60" s="6"/>
      <c r="AK60" s="6"/>
      <c r="AL60" s="6"/>
    </row>
    <row r="61" spans="34:38" x14ac:dyDescent="0.3">
      <c r="AI61" s="1" t="s">
        <v>303</v>
      </c>
    </row>
    <row r="62" spans="34:38" x14ac:dyDescent="0.3">
      <c r="AH62" s="6"/>
      <c r="AI62" s="6" t="s">
        <v>310</v>
      </c>
      <c r="AJ62" s="6"/>
      <c r="AK62" s="6"/>
      <c r="AL62" s="6"/>
    </row>
    <row r="63" spans="34:38" x14ac:dyDescent="0.3">
      <c r="AI63" s="1" t="s">
        <v>306</v>
      </c>
    </row>
  </sheetData>
  <conditionalFormatting sqref="AI7:AI1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:AI26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1:AI35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0:AI4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2:AO22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3:AO23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4:AO2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:AO25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6:AO26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1:AO31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2:AO3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:AO3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4:AO3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5:AO3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7:AP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:AP8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9:AP9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0:AP1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1:AP11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:AP1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3:AP13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4:AP14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5:AP15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6:AP16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1:AP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2:AP3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:AP3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4:AP3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5:AP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0:AP4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1:AP4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:AP4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3:AP4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4:AP4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:AJ1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:AJ26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1:AJ35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0:AJ4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:AK1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:AK26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:AK35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0:AK4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:AL16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:AL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1:AL35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40:AL4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7:AM16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:AM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1:AM35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40:AM4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7:AN16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:AN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1:AN35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40:AN4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7:AO1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:AO26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31:AO3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40:AO44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:AP16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1:AP3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40:AP4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13:BE16 BG13:BI16 BK13:BM16 BO13:BQ16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3:BU16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7:CE7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8:CE8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9:CE9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0:CE10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6:CE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7:CE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8:CE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19:CE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E24-7B23-4499-8D22-C9A70AD3E5F9}">
  <dimension ref="B1:C42"/>
  <sheetViews>
    <sheetView topLeftCell="A25" workbookViewId="0">
      <selection activeCell="C42" sqref="C42"/>
    </sheetView>
  </sheetViews>
  <sheetFormatPr defaultRowHeight="14.4" x14ac:dyDescent="0.3"/>
  <cols>
    <col min="1" max="1" width="2" style="1" customWidth="1"/>
    <col min="2" max="2" width="8.88671875" style="1"/>
    <col min="3" max="3" width="23.6640625" style="1" customWidth="1"/>
    <col min="4" max="16384" width="8.88671875" style="1"/>
  </cols>
  <sheetData>
    <row r="1" spans="2:3" ht="18" x14ac:dyDescent="0.35">
      <c r="B1" s="10" t="s">
        <v>91</v>
      </c>
    </row>
    <row r="3" spans="2:3" x14ac:dyDescent="0.3">
      <c r="B3" s="9" t="s">
        <v>1</v>
      </c>
      <c r="C3" s="9" t="s">
        <v>93</v>
      </c>
    </row>
    <row r="4" spans="2:3" x14ac:dyDescent="0.3">
      <c r="B4" s="1">
        <v>1</v>
      </c>
      <c r="C4" s="1" t="s">
        <v>97</v>
      </c>
    </row>
    <row r="5" spans="2:3" x14ac:dyDescent="0.3">
      <c r="B5" s="6">
        <v>2</v>
      </c>
      <c r="C5" s="6" t="s">
        <v>96</v>
      </c>
    </row>
    <row r="6" spans="2:3" x14ac:dyDescent="0.3">
      <c r="B6" s="1">
        <v>3</v>
      </c>
      <c r="C6" s="1" t="s">
        <v>98</v>
      </c>
    </row>
    <row r="7" spans="2:3" x14ac:dyDescent="0.3">
      <c r="B7" s="6">
        <v>4</v>
      </c>
      <c r="C7" s="6" t="s">
        <v>99</v>
      </c>
    </row>
    <row r="8" spans="2:3" x14ac:dyDescent="0.3">
      <c r="B8" s="1">
        <v>5</v>
      </c>
      <c r="C8" s="1" t="s">
        <v>100</v>
      </c>
    </row>
    <row r="9" spans="2:3" x14ac:dyDescent="0.3">
      <c r="B9" s="6">
        <v>6</v>
      </c>
      <c r="C9" s="6" t="s">
        <v>117</v>
      </c>
    </row>
    <row r="10" spans="2:3" x14ac:dyDescent="0.3">
      <c r="B10" s="1">
        <v>7</v>
      </c>
      <c r="C10" s="1" t="s">
        <v>94</v>
      </c>
    </row>
    <row r="11" spans="2:3" x14ac:dyDescent="0.3">
      <c r="B11" s="6">
        <v>8</v>
      </c>
      <c r="C11" s="6" t="s">
        <v>102</v>
      </c>
    </row>
    <row r="12" spans="2:3" x14ac:dyDescent="0.3">
      <c r="B12" s="1">
        <v>9</v>
      </c>
      <c r="C12" s="1" t="s">
        <v>103</v>
      </c>
    </row>
    <row r="13" spans="2:3" x14ac:dyDescent="0.3">
      <c r="B13" s="6">
        <v>10</v>
      </c>
      <c r="C13" s="6" t="s">
        <v>95</v>
      </c>
    </row>
    <row r="14" spans="2:3" x14ac:dyDescent="0.3">
      <c r="B14" s="1">
        <v>11</v>
      </c>
      <c r="C14" s="1" t="s">
        <v>101</v>
      </c>
    </row>
    <row r="15" spans="2:3" x14ac:dyDescent="0.3">
      <c r="B15" s="6">
        <v>12</v>
      </c>
      <c r="C15" s="6" t="s">
        <v>104</v>
      </c>
    </row>
    <row r="16" spans="2:3" x14ac:dyDescent="0.3">
      <c r="B16" s="1">
        <v>13</v>
      </c>
      <c r="C16" s="1" t="s">
        <v>105</v>
      </c>
    </row>
    <row r="17" spans="2:3" x14ac:dyDescent="0.3">
      <c r="B17" s="6">
        <v>15</v>
      </c>
      <c r="C17" s="6" t="s">
        <v>106</v>
      </c>
    </row>
    <row r="18" spans="2:3" x14ac:dyDescent="0.3">
      <c r="B18" s="1">
        <v>16</v>
      </c>
      <c r="C18" s="1" t="s">
        <v>107</v>
      </c>
    </row>
    <row r="19" spans="2:3" x14ac:dyDescent="0.3">
      <c r="B19" s="6">
        <v>17</v>
      </c>
      <c r="C19" s="6" t="s">
        <v>110</v>
      </c>
    </row>
    <row r="20" spans="2:3" x14ac:dyDescent="0.3">
      <c r="B20" s="1">
        <v>18</v>
      </c>
      <c r="C20" s="1" t="s">
        <v>115</v>
      </c>
    </row>
    <row r="21" spans="2:3" x14ac:dyDescent="0.3">
      <c r="B21" s="6">
        <v>19</v>
      </c>
      <c r="C21" s="6" t="s">
        <v>113</v>
      </c>
    </row>
    <row r="22" spans="2:3" x14ac:dyDescent="0.3">
      <c r="B22" s="1">
        <v>20</v>
      </c>
      <c r="C22" s="1" t="s">
        <v>114</v>
      </c>
    </row>
    <row r="23" spans="2:3" x14ac:dyDescent="0.3">
      <c r="B23" s="6">
        <v>21</v>
      </c>
      <c r="C23" s="6" t="s">
        <v>116</v>
      </c>
    </row>
    <row r="24" spans="2:3" x14ac:dyDescent="0.3">
      <c r="B24" s="1">
        <v>22</v>
      </c>
      <c r="C24" s="1" t="s">
        <v>120</v>
      </c>
    </row>
    <row r="25" spans="2:3" x14ac:dyDescent="0.3">
      <c r="B25" s="6">
        <v>23</v>
      </c>
      <c r="C25" s="6" t="s">
        <v>153</v>
      </c>
    </row>
    <row r="26" spans="2:3" x14ac:dyDescent="0.3">
      <c r="B26" s="1">
        <v>24</v>
      </c>
      <c r="C26" s="1" t="s">
        <v>160</v>
      </c>
    </row>
    <row r="27" spans="2:3" x14ac:dyDescent="0.3">
      <c r="B27" s="1">
        <v>25</v>
      </c>
      <c r="C27" s="1" t="s">
        <v>200</v>
      </c>
    </row>
    <row r="28" spans="2:3" x14ac:dyDescent="0.3">
      <c r="B28" s="1">
        <v>26</v>
      </c>
      <c r="C28" s="1" t="s">
        <v>211</v>
      </c>
    </row>
    <row r="29" spans="2:3" x14ac:dyDescent="0.3">
      <c r="B29" s="1">
        <v>27</v>
      </c>
      <c r="C29" s="1" t="s">
        <v>212</v>
      </c>
    </row>
    <row r="30" spans="2:3" x14ac:dyDescent="0.3">
      <c r="B30" s="1">
        <v>28</v>
      </c>
      <c r="C30" s="1" t="s">
        <v>213</v>
      </c>
    </row>
    <row r="31" spans="2:3" x14ac:dyDescent="0.3">
      <c r="B31" s="1">
        <v>29</v>
      </c>
      <c r="C31" s="1" t="s">
        <v>214</v>
      </c>
    </row>
    <row r="32" spans="2:3" x14ac:dyDescent="0.3">
      <c r="B32" s="1">
        <v>30</v>
      </c>
      <c r="C32" s="1" t="s">
        <v>215</v>
      </c>
    </row>
    <row r="33" spans="2:3" x14ac:dyDescent="0.3">
      <c r="B33" s="1">
        <v>31</v>
      </c>
      <c r="C33" s="1" t="s">
        <v>216</v>
      </c>
    </row>
    <row r="34" spans="2:3" x14ac:dyDescent="0.3">
      <c r="B34" s="1">
        <v>32</v>
      </c>
      <c r="C34" s="1" t="s">
        <v>217</v>
      </c>
    </row>
    <row r="35" spans="2:3" x14ac:dyDescent="0.3">
      <c r="B35" s="1">
        <v>33</v>
      </c>
      <c r="C35" s="1" t="s">
        <v>218</v>
      </c>
    </row>
    <row r="36" spans="2:3" x14ac:dyDescent="0.3">
      <c r="B36" s="1">
        <v>34</v>
      </c>
      <c r="C36" s="1" t="s">
        <v>219</v>
      </c>
    </row>
    <row r="37" spans="2:3" x14ac:dyDescent="0.3">
      <c r="B37" s="1">
        <v>35</v>
      </c>
      <c r="C37" s="1" t="s">
        <v>220</v>
      </c>
    </row>
    <row r="38" spans="2:3" x14ac:dyDescent="0.3">
      <c r="B38" s="1">
        <v>36</v>
      </c>
      <c r="C38" s="1" t="s">
        <v>221</v>
      </c>
    </row>
    <row r="39" spans="2:3" x14ac:dyDescent="0.3">
      <c r="B39" s="1">
        <v>37</v>
      </c>
      <c r="C39" s="1" t="s">
        <v>222</v>
      </c>
    </row>
    <row r="40" spans="2:3" x14ac:dyDescent="0.3">
      <c r="B40" s="1">
        <v>37</v>
      </c>
      <c r="C40" s="29" t="s">
        <v>276</v>
      </c>
    </row>
    <row r="41" spans="2:3" x14ac:dyDescent="0.3">
      <c r="B41" s="1">
        <v>38</v>
      </c>
      <c r="C41" s="30" t="s">
        <v>352</v>
      </c>
    </row>
    <row r="42" spans="2:3" x14ac:dyDescent="0.3">
      <c r="B42" s="1">
        <v>39</v>
      </c>
      <c r="C42" s="1" t="s">
        <v>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3A30-8DEB-4A80-AC0D-2CC25A9FC432}">
  <dimension ref="B1:B8"/>
  <sheetViews>
    <sheetView workbookViewId="0">
      <selection activeCell="B8" sqref="B8"/>
    </sheetView>
  </sheetViews>
  <sheetFormatPr defaultRowHeight="14.4" x14ac:dyDescent="0.3"/>
  <cols>
    <col min="1" max="1" width="2" style="1" customWidth="1"/>
    <col min="2" max="16384" width="8.88671875" style="1"/>
  </cols>
  <sheetData>
    <row r="1" spans="2:2" x14ac:dyDescent="0.3">
      <c r="B1" s="13" t="s">
        <v>201</v>
      </c>
    </row>
    <row r="3" spans="2:2" x14ac:dyDescent="0.3">
      <c r="B3" s="1" t="s">
        <v>202</v>
      </c>
    </row>
    <row r="4" spans="2:2" x14ac:dyDescent="0.3">
      <c r="B4" s="1" t="s">
        <v>203</v>
      </c>
    </row>
    <row r="5" spans="2:2" x14ac:dyDescent="0.3">
      <c r="B5" s="1" t="s">
        <v>204</v>
      </c>
    </row>
    <row r="6" spans="2:2" x14ac:dyDescent="0.3">
      <c r="B6" s="1" t="s">
        <v>205</v>
      </c>
    </row>
    <row r="7" spans="2:2" x14ac:dyDescent="0.3">
      <c r="B7" s="1" t="s">
        <v>206</v>
      </c>
    </row>
    <row r="8" spans="2:2" x14ac:dyDescent="0.3">
      <c r="B8" s="1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5718-4007-43A2-8FA5-6282944FC450}">
  <dimension ref="B1:B5"/>
  <sheetViews>
    <sheetView workbookViewId="0">
      <selection activeCell="B3" sqref="B3"/>
    </sheetView>
  </sheetViews>
  <sheetFormatPr defaultRowHeight="14.4" x14ac:dyDescent="0.3"/>
  <cols>
    <col min="1" max="1" width="2" style="1" customWidth="1"/>
    <col min="2" max="16384" width="8.88671875" style="1"/>
  </cols>
  <sheetData>
    <row r="1" spans="2:2" ht="18" x14ac:dyDescent="0.35">
      <c r="B1" s="10" t="s">
        <v>144</v>
      </c>
    </row>
    <row r="3" spans="2:2" x14ac:dyDescent="0.3">
      <c r="B3" s="11" t="s">
        <v>145</v>
      </c>
    </row>
    <row r="4" spans="2:2" x14ac:dyDescent="0.3">
      <c r="B4" s="1" t="s">
        <v>134</v>
      </c>
    </row>
    <row r="5" spans="2:2" x14ac:dyDescent="0.3">
      <c r="B5" s="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literature review</vt:lpstr>
      <vt:lpstr>ggm</vt:lpstr>
      <vt:lpstr>structure</vt:lpstr>
      <vt:lpstr>sources</vt:lpstr>
      <vt:lpstr>modelling</vt:lpstr>
      <vt:lpstr>results</vt:lpstr>
      <vt:lpstr>results_train_test</vt:lpstr>
      <vt:lpstr>Ideas</vt:lpstr>
      <vt:lpstr>pytrends_categories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 Velez</dc:creator>
  <cp:lastModifiedBy>Daniel Gutiérrez Velez</cp:lastModifiedBy>
  <dcterms:created xsi:type="dcterms:W3CDTF">2025-01-14T07:55:50Z</dcterms:created>
  <dcterms:modified xsi:type="dcterms:W3CDTF">2025-05-01T14:59:59Z</dcterms:modified>
</cp:coreProperties>
</file>