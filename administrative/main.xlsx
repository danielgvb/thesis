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CC48FEEB-F891-4126-929C-AEDC64A082A5}" xr6:coauthVersionLast="47" xr6:coauthVersionMax="47" xr10:uidLastSave="{00000000-0000-0000-0000-000000000000}"/>
  <bookViews>
    <workbookView xWindow="-108" yWindow="-108" windowWidth="23256" windowHeight="12456" activeTab="5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Ideas" sheetId="5" r:id="rId7"/>
    <sheet name="pytrends_categories" sheetId="9" r:id="rId8"/>
    <sheet name="hel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1" i="8" l="1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F9" i="8"/>
  <c r="BF8" i="8"/>
  <c r="BI19" i="8"/>
  <c r="BI18" i="8"/>
  <c r="BI17" i="8"/>
  <c r="BH19" i="8"/>
  <c r="BH18" i="8"/>
  <c r="BH17" i="8"/>
  <c r="BG19" i="8"/>
  <c r="BG18" i="8"/>
  <c r="BG17" i="8"/>
  <c r="BF19" i="8"/>
  <c r="BF18" i="8"/>
  <c r="BF17" i="8"/>
  <c r="BE19" i="8"/>
  <c r="BE18" i="8"/>
  <c r="BE17" i="8"/>
  <c r="BI9" i="8"/>
  <c r="BI8" i="8"/>
  <c r="BI7" i="8"/>
  <c r="BH9" i="8"/>
  <c r="BH8" i="8"/>
  <c r="BH7" i="8"/>
  <c r="BG9" i="8"/>
  <c r="BG8" i="8"/>
  <c r="BG7" i="8"/>
  <c r="BE7" i="8"/>
  <c r="BF7" i="8"/>
  <c r="BE9" i="8"/>
  <c r="BE8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<sst xmlns="http://schemas.openxmlformats.org/spreadsheetml/2006/main" count="750" uniqueCount="289">
  <si>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</si>
  <si>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</si>
  <si>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</si>
  <si>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</si>
  <si>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</si>
  <si>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</si>
  <si>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</si>
  <si>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</si>
  <si>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</si>
  <si>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</si>
  <si>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</si>
  <si>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</si>
  <si>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</si>
  <si>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</si>
  <si>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</si>
  <si>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</si>
  <si>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</si>
  <si>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</si>
  <si>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</si>
  <si>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</si>
  <si>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</si>
  <si>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</si>
  <si>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</si>
  <si>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</si>
  <si>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</si>
  <si>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</si>
  <si>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</si>
  <si>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</si>
  <si>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</si>
  <si>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</si>
  <si>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</si>
  <si>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</si>
  <si>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</si>
  <si>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</si>
  <si>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</si>
  <si>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</si>
  <si>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</si>
  <si>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</si>
  <si>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</si>
  <si>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</si>
  <si>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</si>
  <si>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</si>
  <si>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</si>
  <si>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</si>
  <si>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</si>
  <si>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</si>
  <si>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</si>
  <si>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</si>
  <si>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</si>
  <si>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</si>
  <si>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</si>
  <si>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</si>
  <si>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</si>
  <si>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</si>
  <si>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</si>
  <si>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</si>
  <si>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</si>
  <si>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</si>
  <si>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</si>
  <si>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</si>
  <si>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</si>
  <si>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</si>
  <si>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</si>
  <si>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</si>
  <si>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</si>
  <si>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</si>
  <si>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</si>
  <si>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</si>
  <si>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</si>
  <si>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</si>
  <si>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</si>
  <si>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</si>
  <si>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</si>
  <si>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</si>
  <si>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</si>
  <si>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</si>
  <si>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</si>
  <si>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</si>
  <si>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</si>
  <si>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</si>
  <si>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</si>
  <si>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</si>
  <si>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</si>
  <si>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</si>
  <si>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</si>
  <si>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</si>
  <si>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</si>
  <si>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</si>
  <si>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</si>
  <si>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</si>
  <si>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</si>
  <si>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</si>
  <si>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</si>
  <si>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</si>
  <si>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</si>
  <si>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</si>
  <si>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</si>
  <si>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</si>
  <si>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</si>
  <si>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</si>
  <si>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</si>
  <si>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</si>
  <si>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</si>
  <si>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</si>
  <si>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</si>
  <si>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</si>
  <si>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</si>
  <si>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</si>
  <si>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</si>
  <si>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</si>
  <si>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</si>
  <si>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</si>
  <si>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</si>
  <si>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</si>
  <si>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</si>
  <si>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</si>
  <si>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</si>
  <si>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</si>
  <si>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</si>
  <si>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</si>
  <si>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</si>
  <si>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</si>
  <si>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</si>
  <si>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</si>
  <si>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</si>
  <si>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</si>
  <si>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</si>
  <si>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</si>
  <si>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</si>
  <si>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</si>
  <si>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</si>
  <si>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</si>
  <si>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</si>
  <si>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</si>
  <si>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</si>
  <si>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</si>
  <si>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</si>
  <si>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</si>
  <si>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</si>
  <si>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</si>
  <si>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</si>
  <si>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</si>
  <si>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</si>
  <si>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</si>
  <si>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</si>
  <si>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</si>
  <si>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</si>
  <si>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</si>
  <si>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</si>
  <si>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</si>
  <si>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</si>
  <si>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</si>
  <si>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</si>
  <si>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</si>
  <si>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</si>
  <si>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</si>
  <si>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</si>
  <si>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</si>
  <si>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</si>
  <si>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</si>
  <si>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</si>
  <si>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</si>
  <si>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</si>
  <si>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</si>
  <si>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</si>
  <si>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Results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</si>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</sst>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214</v>
      </c>
      <c r="D25" s="6" t="s">
        <v>213</v>
      </c>
      <c r="E25" s="7" t="s">
        <v>212</v>
      </c>
    </row>
    <row r="26" spans="2:17" x14ac:dyDescent="0.3">
      <c r="B26" s="29">
        <v>23</v>
      </c>
      <c r="C26" s="1" t="s">
        <v>228</v>
      </c>
      <c r="D26" s="1" t="s">
        <v>229</v>
      </c>
      <c r="E26" s="4" t="s">
        <v>227</v>
      </c>
      <c r="F26" s="1" t="s">
        <v>230</v>
      </c>
    </row>
    <row r="27" spans="2:17" x14ac:dyDescent="0.3">
      <c r="B27" s="1">
        <v>24</v>
      </c>
      <c r="C27" s="1" t="s">
        <v>283</v>
      </c>
      <c r="D27" s="1" t="s">
        <v>284</v>
      </c>
      <c r="E27" s="4" t="s">
        <v>282</v>
      </c>
      <c r="F27" s="1" t="s">
        <v>285</v>
      </c>
      <c r="G27" s="1" t="s">
        <v>286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3"/>
  <sheetViews>
    <sheetView workbookViewId="0">
      <selection activeCell="B22" sqref="B22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270</v>
      </c>
      <c r="C19" s="1" t="s">
        <v>271</v>
      </c>
    </row>
    <row r="20" spans="2:3" x14ac:dyDescent="0.3">
      <c r="B20" s="4" t="s">
        <v>273</v>
      </c>
      <c r="C20" s="1" t="s">
        <v>274</v>
      </c>
    </row>
    <row r="21" spans="2:3" x14ac:dyDescent="0.3">
      <c r="B21" s="4" t="s">
        <v>275</v>
      </c>
      <c r="C21" s="1" t="s">
        <v>276</v>
      </c>
    </row>
    <row r="22" spans="2:3" x14ac:dyDescent="0.3">
      <c r="B22" s="4" t="s">
        <v>277</v>
      </c>
      <c r="C22" s="1" t="s">
        <v>278</v>
      </c>
    </row>
    <row r="23" spans="2:3" x14ac:dyDescent="0.3">
      <c r="B23" s="4" t="s">
        <v>279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231</v>
      </c>
      <c r="N4" s="2" t="s">
        <v>246</v>
      </c>
      <c r="Q4" s="2" t="s">
        <v>247</v>
      </c>
      <c r="R4" s="2" t="s">
        <v>249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248</v>
      </c>
      <c r="R5" s="1" t="s">
        <v>250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232</v>
      </c>
      <c r="Q6" s="1" t="s">
        <v>251</v>
      </c>
      <c r="R6" s="1" t="s">
        <v>250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233</v>
      </c>
      <c r="Q7" s="1" t="s">
        <v>252</v>
      </c>
      <c r="R7" s="1" t="s">
        <v>253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185</v>
      </c>
      <c r="G8" s="12"/>
      <c r="M8" s="1" t="s">
        <v>234</v>
      </c>
      <c r="N8" s="1" t="s">
        <v>237</v>
      </c>
      <c r="Q8" s="1" t="s">
        <v>254</v>
      </c>
      <c r="R8" s="1" t="s">
        <v>250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185</v>
      </c>
      <c r="M9" s="1" t="s">
        <v>235</v>
      </c>
      <c r="N9" s="1" t="s">
        <v>236</v>
      </c>
      <c r="Q9" s="1" t="s">
        <v>255</v>
      </c>
      <c r="R9" s="1" t="s">
        <v>250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238</v>
      </c>
      <c r="Q10" s="1" t="s">
        <v>256</v>
      </c>
      <c r="R10" s="1" t="s">
        <v>281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239</v>
      </c>
      <c r="Q11" s="1" t="s">
        <v>257</v>
      </c>
      <c r="R11" s="1" t="s">
        <v>253</v>
      </c>
    </row>
    <row r="12" spans="2:18" x14ac:dyDescent="0.3">
      <c r="B12" s="1" t="s">
        <v>150</v>
      </c>
      <c r="C12" s="1" t="s">
        <v>243</v>
      </c>
      <c r="D12" s="1" t="s">
        <v>137</v>
      </c>
      <c r="M12" s="1" t="s">
        <v>240</v>
      </c>
      <c r="Q12" s="1" t="s">
        <v>258</v>
      </c>
      <c r="R12" s="1" t="s">
        <v>253</v>
      </c>
    </row>
    <row r="13" spans="2:18" x14ac:dyDescent="0.3">
      <c r="B13" s="1" t="s">
        <v>150</v>
      </c>
      <c r="C13" s="1" t="s">
        <v>272</v>
      </c>
      <c r="D13" s="1" t="s">
        <v>137</v>
      </c>
      <c r="M13" s="1" t="s">
        <v>241</v>
      </c>
      <c r="Q13" s="1" t="s">
        <v>259</v>
      </c>
      <c r="R13" s="1" t="s">
        <v>253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242</v>
      </c>
      <c r="Q14" s="1" t="s">
        <v>260</v>
      </c>
      <c r="R14" s="1" t="s">
        <v>253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243</v>
      </c>
      <c r="Q15" s="1" t="s">
        <v>261</v>
      </c>
      <c r="R15" s="1" t="s">
        <v>250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244</v>
      </c>
      <c r="Q16" s="1" t="s">
        <v>262</v>
      </c>
      <c r="R16" s="1" t="s">
        <v>250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245</v>
      </c>
      <c r="Q17" s="1" t="s">
        <v>263</v>
      </c>
      <c r="R17" s="1" t="s">
        <v>250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264</v>
      </c>
      <c r="R18" s="1" t="s">
        <v>250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265</v>
      </c>
      <c r="R19" s="1" t="s">
        <v>253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266</v>
      </c>
      <c r="R20" s="1" t="s">
        <v>250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267</v>
      </c>
      <c r="R21" s="1" t="s">
        <v>253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268</v>
      </c>
      <c r="R22" s="1" t="s">
        <v>253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269</v>
      </c>
      <c r="R23" s="1" t="s">
        <v>250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243</v>
      </c>
      <c r="D25" s="1" t="s">
        <v>137</v>
      </c>
    </row>
    <row r="26" spans="2:18" x14ac:dyDescent="0.3">
      <c r="B26" s="1" t="s">
        <v>151</v>
      </c>
      <c r="C26" s="1" t="s">
        <v>272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243</v>
      </c>
      <c r="D38" s="1" t="s">
        <v>137</v>
      </c>
    </row>
    <row r="39" spans="2:4" x14ac:dyDescent="0.3">
      <c r="B39" s="1" t="s">
        <v>152</v>
      </c>
      <c r="C39" s="1" t="s">
        <v>272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243</v>
      </c>
      <c r="D51" s="1" t="s">
        <v>149</v>
      </c>
    </row>
    <row r="52" spans="2:4" x14ac:dyDescent="0.3">
      <c r="B52" s="1" t="s">
        <v>153</v>
      </c>
      <c r="C52" s="1" t="s">
        <v>272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J46"/>
  <sheetViews>
    <sheetView tabSelected="1" topLeftCell="O12" workbookViewId="0">
      <selection activeCell="AE22" sqref="AE22:AK31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20" customWidth="1"/>
    <col min="39" max="41" width="12.109375" style="1" customWidth="1"/>
    <col min="42" max="42" width="2" style="20" customWidth="1"/>
    <col min="43" max="45" width="12.109375" style="1" customWidth="1"/>
    <col min="46" max="46" width="2" style="20" customWidth="1"/>
    <col min="47" max="47" width="15.109375" style="1" customWidth="1"/>
    <col min="48" max="50" width="8.88671875" style="1"/>
    <col min="51" max="51" width="2" style="20" customWidth="1"/>
    <col min="52" max="54" width="8.88671875" style="1"/>
    <col min="55" max="55" width="2" style="20" customWidth="1"/>
    <col min="56" max="56" width="11.88671875" style="1" customWidth="1"/>
    <col min="57" max="60" width="8.88671875" style="1"/>
    <col min="61" max="61" width="9.33203125" style="1" bestFit="1" customWidth="1"/>
    <col min="62" max="16384" width="8.88671875" style="1"/>
  </cols>
  <sheetData>
    <row r="1" spans="2:62" ht="18" x14ac:dyDescent="0.35">
      <c r="B1" s="10" t="s">
        <v>165</v>
      </c>
      <c r="AC1" s="20" t="s">
        <v>287</v>
      </c>
    </row>
    <row r="2" spans="2:62" x14ac:dyDescent="0.3">
      <c r="B2" s="19" t="s">
        <v>186</v>
      </c>
      <c r="I2" s="19" t="s">
        <v>189</v>
      </c>
      <c r="N2" s="19" t="s">
        <v>138</v>
      </c>
      <c r="R2" s="19" t="s">
        <v>139</v>
      </c>
      <c r="S2" s="19"/>
      <c r="V2" s="19" t="s">
        <v>243</v>
      </c>
      <c r="W2" s="19"/>
      <c r="Z2" s="19" t="s">
        <v>272</v>
      </c>
      <c r="AD2" s="19" t="s">
        <v>192</v>
      </c>
      <c r="AE2" s="19"/>
      <c r="AF2" s="19"/>
      <c r="AM2" s="19" t="s">
        <v>138</v>
      </c>
      <c r="AQ2" s="19" t="s">
        <v>139</v>
      </c>
      <c r="AU2" s="19" t="s">
        <v>199</v>
      </c>
      <c r="AZ2" s="19" t="s">
        <v>200</v>
      </c>
      <c r="BD2" s="19" t="s">
        <v>192</v>
      </c>
    </row>
    <row r="4" spans="2:62" x14ac:dyDescent="0.3">
      <c r="B4" s="13" t="s">
        <v>181</v>
      </c>
      <c r="I4" s="13" t="s">
        <v>181</v>
      </c>
      <c r="N4" s="13" t="s">
        <v>181</v>
      </c>
      <c r="R4" s="13" t="s">
        <v>181</v>
      </c>
      <c r="V4" s="13" t="s">
        <v>181</v>
      </c>
      <c r="Z4" s="13" t="s">
        <v>181</v>
      </c>
      <c r="AD4" s="13" t="s">
        <v>181</v>
      </c>
      <c r="AE4" s="13"/>
      <c r="AF4" s="13"/>
      <c r="AM4" s="13" t="s">
        <v>198</v>
      </c>
      <c r="AQ4" s="13" t="s">
        <v>198</v>
      </c>
      <c r="AU4" s="13" t="s">
        <v>198</v>
      </c>
      <c r="AZ4" s="13" t="s">
        <v>198</v>
      </c>
      <c r="BD4" s="13" t="s">
        <v>198</v>
      </c>
    </row>
    <row r="6" spans="2:62" x14ac:dyDescent="0.3">
      <c r="B6" s="9" t="s">
        <v>166</v>
      </c>
      <c r="C6" s="9" t="s">
        <v>167</v>
      </c>
      <c r="D6" s="9" t="s">
        <v>168</v>
      </c>
      <c r="E6" s="9" t="s">
        <v>169</v>
      </c>
      <c r="F6" s="9" t="s">
        <v>170</v>
      </c>
      <c r="G6" s="9" t="s">
        <v>182</v>
      </c>
      <c r="I6" s="9" t="s">
        <v>166</v>
      </c>
      <c r="J6" s="9" t="s">
        <v>187</v>
      </c>
      <c r="K6" s="9" t="s">
        <v>188</v>
      </c>
      <c r="L6" s="9" t="s">
        <v>190</v>
      </c>
      <c r="N6" s="9" t="s">
        <v>166</v>
      </c>
      <c r="O6" s="9" t="s">
        <v>187</v>
      </c>
      <c r="P6" s="9" t="s">
        <v>188</v>
      </c>
      <c r="R6" s="9" t="s">
        <v>166</v>
      </c>
      <c r="S6" s="9" t="s">
        <v>187</v>
      </c>
      <c r="T6" s="9" t="s">
        <v>188</v>
      </c>
      <c r="V6" s="9" t="s">
        <v>166</v>
      </c>
      <c r="W6" s="9" t="s">
        <v>187</v>
      </c>
      <c r="X6" s="9" t="s">
        <v>188</v>
      </c>
      <c r="Z6" s="9" t="s">
        <v>166</v>
      </c>
      <c r="AA6" s="9" t="s">
        <v>187</v>
      </c>
      <c r="AB6" s="9" t="s">
        <v>188</v>
      </c>
      <c r="AD6" s="9" t="s">
        <v>166</v>
      </c>
      <c r="AE6" s="9" t="s">
        <v>138</v>
      </c>
      <c r="AF6" s="9" t="s">
        <v>139</v>
      </c>
      <c r="AG6" s="9" t="s">
        <v>193</v>
      </c>
      <c r="AH6" s="9" t="s">
        <v>33</v>
      </c>
      <c r="AI6" s="9" t="s">
        <v>243</v>
      </c>
      <c r="AJ6" s="9" t="s">
        <v>194</v>
      </c>
      <c r="AK6" s="9" t="s">
        <v>272</v>
      </c>
      <c r="AM6" s="9" t="s">
        <v>195</v>
      </c>
      <c r="AN6" s="9" t="s">
        <v>187</v>
      </c>
      <c r="AO6" s="9" t="s">
        <v>188</v>
      </c>
      <c r="AQ6" s="9" t="s">
        <v>195</v>
      </c>
      <c r="AR6" s="9" t="s">
        <v>187</v>
      </c>
      <c r="AS6" s="9" t="s">
        <v>188</v>
      </c>
      <c r="AU6" s="9" t="s">
        <v>195</v>
      </c>
      <c r="AV6" s="9" t="s">
        <v>134</v>
      </c>
      <c r="AW6" s="9" t="s">
        <v>187</v>
      </c>
      <c r="AX6" s="9" t="s">
        <v>188</v>
      </c>
      <c r="AZ6" s="9" t="s">
        <v>195</v>
      </c>
      <c r="BA6" s="9" t="s">
        <v>187</v>
      </c>
      <c r="BB6" s="9" t="s">
        <v>188</v>
      </c>
      <c r="BD6" s="9" t="s">
        <v>195</v>
      </c>
      <c r="BE6" s="9" t="s">
        <v>138</v>
      </c>
      <c r="BF6" s="9" t="s">
        <v>139</v>
      </c>
      <c r="BG6" s="9" t="s">
        <v>193</v>
      </c>
      <c r="BH6" s="9" t="s">
        <v>33</v>
      </c>
      <c r="BI6" s="9" t="s">
        <v>202</v>
      </c>
      <c r="BJ6" s="9"/>
    </row>
    <row r="7" spans="2:62" x14ac:dyDescent="0.3">
      <c r="B7" s="1" t="s">
        <v>171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171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171</v>
      </c>
      <c r="O7" s="12">
        <v>-0.39370899999999998</v>
      </c>
      <c r="P7" s="14">
        <v>15217290</v>
      </c>
      <c r="R7" s="1" t="s">
        <v>171</v>
      </c>
      <c r="S7" s="12">
        <v>-9.8227999999999996E-2</v>
      </c>
      <c r="T7" s="14">
        <v>13264390</v>
      </c>
      <c r="V7" s="1" t="s">
        <v>171</v>
      </c>
      <c r="W7" s="31">
        <v>0.99999800000000005</v>
      </c>
      <c r="X7" s="14">
        <v>15940.183487</v>
      </c>
      <c r="Z7" s="1" t="s">
        <v>171</v>
      </c>
      <c r="AA7" s="31">
        <v>0.99995000000000001</v>
      </c>
      <c r="AB7" s="14">
        <v>91507.114184000005</v>
      </c>
      <c r="AD7" s="1" t="s">
        <v>171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M7" s="1" t="s">
        <v>197</v>
      </c>
      <c r="AN7" s="12">
        <v>0.94224399999999997</v>
      </c>
      <c r="AO7" s="14">
        <v>4703.6260300000004</v>
      </c>
      <c r="AQ7" s="1" t="s">
        <v>197</v>
      </c>
      <c r="AR7" s="12">
        <v>0.91772100000000001</v>
      </c>
      <c r="AS7" s="14">
        <v>5614.0714690000004</v>
      </c>
      <c r="AU7" s="1" t="s">
        <v>196</v>
      </c>
      <c r="AV7" s="1" t="s">
        <v>193</v>
      </c>
      <c r="AW7" s="12">
        <v>-0.25174930000000001</v>
      </c>
      <c r="AX7" s="14">
        <v>210875.2597</v>
      </c>
      <c r="AZ7" s="1" t="s">
        <v>196</v>
      </c>
      <c r="BA7" s="23">
        <v>0.99999979999999999</v>
      </c>
      <c r="BB7" s="25">
        <v>91.979789999999994</v>
      </c>
      <c r="BD7" s="1" t="s">
        <v>196</v>
      </c>
      <c r="BE7" s="14">
        <f>+_xlfn.XLOOKUP($BD7,$AM$7:$AM$9,$AO$7:$AO$9)</f>
        <v>22520.654823000001</v>
      </c>
      <c r="BF7" s="14">
        <f>+_xlfn.XLOOKUP(BD7,$AQ$7:$AQ$9,$AS$7:$AS$9)</f>
        <v>16596.507481000001</v>
      </c>
      <c r="BG7" s="14">
        <f>+AX7</f>
        <v>210875.2597</v>
      </c>
      <c r="BH7" s="14">
        <f>+AX8</f>
        <v>15764.5885</v>
      </c>
      <c r="BI7" s="14">
        <f>+BB7</f>
        <v>91.979789999999994</v>
      </c>
    </row>
    <row r="8" spans="2:62" x14ac:dyDescent="0.3">
      <c r="B8" s="6" t="s">
        <v>172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172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172</v>
      </c>
      <c r="O8" s="18">
        <v>0.44333400000000001</v>
      </c>
      <c r="P8" s="17">
        <v>1304208</v>
      </c>
      <c r="R8" s="6" t="s">
        <v>172</v>
      </c>
      <c r="S8" s="18">
        <v>0.91093299999999999</v>
      </c>
      <c r="T8" s="17">
        <v>518469</v>
      </c>
      <c r="V8" s="6" t="s">
        <v>172</v>
      </c>
      <c r="W8" s="32">
        <v>0.99999899999999997</v>
      </c>
      <c r="X8" s="17">
        <v>1580.191648</v>
      </c>
      <c r="Z8" s="6" t="s">
        <v>172</v>
      </c>
      <c r="AA8" s="32">
        <v>0.999973</v>
      </c>
      <c r="AB8" s="17">
        <v>9120.9211990000003</v>
      </c>
      <c r="AD8" s="6" t="s">
        <v>172</v>
      </c>
      <c r="AE8" s="17">
        <f t="shared" ref="AE8:AE16" si="3">+_xlfn.XLOOKUP($AD8,N$7:N$16,P$7:P$16)</f>
        <v>1304208</v>
      </c>
      <c r="AF8" s="17">
        <f t="shared" ref="AF8:AF16" si="4">+_xlfn.XLOOKUP($AD8,R$7:R$16,T$7:T$16)</f>
        <v>518469</v>
      </c>
      <c r="AG8" s="17">
        <f t="shared" ref="AG8:AG16" si="5">+_xlfn.XLOOKUP($AD8,B$7:B$16,D$7:D$16)</f>
        <v>1864908.65</v>
      </c>
      <c r="AH8" s="17">
        <f t="shared" ref="AH8:AH16" si="6">+_xlfn.XLOOKUP($AD8,B$7:B$16,F$7:F$16)</f>
        <v>845419.62</v>
      </c>
      <c r="AI8" s="17">
        <f t="shared" ref="AI8:AI16" si="7">+_xlfn.XLOOKUP($AD8,V$7:V$16,X$7:X$16)</f>
        <v>1580.191648</v>
      </c>
      <c r="AJ8" s="17">
        <f t="shared" si="0"/>
        <v>1577.3933</v>
      </c>
      <c r="AK8" s="14">
        <f t="shared" ref="AK8:AK16" si="8">+_xlfn.XLOOKUP(AD8,$Z$7:$Z$16,$AB$7:$AB$16)</f>
        <v>9120.9211990000003</v>
      </c>
      <c r="AM8" s="6" t="s">
        <v>196</v>
      </c>
      <c r="AN8" s="18">
        <v>0.98572300000000002</v>
      </c>
      <c r="AO8" s="17">
        <v>22520.654823000001</v>
      </c>
      <c r="AQ8" s="6" t="s">
        <v>196</v>
      </c>
      <c r="AR8" s="18">
        <v>0.99224599999999996</v>
      </c>
      <c r="AS8" s="17">
        <v>16596.507481000001</v>
      </c>
      <c r="AU8" s="6" t="s">
        <v>196</v>
      </c>
      <c r="AV8" s="6" t="s">
        <v>33</v>
      </c>
      <c r="AW8" s="18">
        <v>0.99300429999999995</v>
      </c>
      <c r="AX8" s="17">
        <v>15764.5885</v>
      </c>
      <c r="AZ8" s="6" t="s">
        <v>197</v>
      </c>
      <c r="BA8" s="24">
        <v>0.99997420000000004</v>
      </c>
      <c r="BB8" s="26">
        <v>99.435940000000002</v>
      </c>
      <c r="BD8" s="6" t="s">
        <v>197</v>
      </c>
      <c r="BE8" s="17">
        <f t="shared" ref="BE8:BE9" si="9">+_xlfn.XLOOKUP(BD8,$AM$7:$AM$9,$AO$7:$AO$9)</f>
        <v>4703.6260300000004</v>
      </c>
      <c r="BF8" s="17">
        <f t="shared" ref="BF8:BF9" si="10">+_xlfn.XLOOKUP(BD8,$AQ$7:$AQ$9,$AS$7:$AS$9)</f>
        <v>5614.0714690000004</v>
      </c>
      <c r="BG8" s="17">
        <f>+AX9</f>
        <v>1100.5509999999999</v>
      </c>
      <c r="BH8" s="17">
        <f>+AX10</f>
        <v>756.05920000000003</v>
      </c>
      <c r="BI8" s="17">
        <f t="shared" ref="BI8:BI9" si="11">+BB8</f>
        <v>99.435940000000002</v>
      </c>
    </row>
    <row r="9" spans="2:62" x14ac:dyDescent="0.3">
      <c r="B9" s="1" t="s">
        <v>173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173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173</v>
      </c>
      <c r="O9" s="12">
        <v>-0.84969700000000004</v>
      </c>
      <c r="P9" s="14">
        <v>3356209</v>
      </c>
      <c r="R9" s="1" t="s">
        <v>173</v>
      </c>
      <c r="S9" s="12">
        <v>-0.18831400000000001</v>
      </c>
      <c r="T9" s="14">
        <v>2617900</v>
      </c>
      <c r="V9" s="1" t="s">
        <v>173</v>
      </c>
      <c r="W9" s="31">
        <v>0.99999899999999997</v>
      </c>
      <c r="X9" s="14">
        <v>2142.2691100000002</v>
      </c>
      <c r="Z9" s="1" t="s">
        <v>173</v>
      </c>
      <c r="AA9" s="31">
        <v>0.99992800000000004</v>
      </c>
      <c r="AB9" s="14">
        <v>20962.221375000001</v>
      </c>
      <c r="AD9" s="1" t="s">
        <v>173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M9" s="1" t="s">
        <v>201</v>
      </c>
      <c r="AN9" s="12">
        <v>0.98843700000000001</v>
      </c>
      <c r="AO9" s="14">
        <v>2148.462321</v>
      </c>
      <c r="AQ9" s="1" t="s">
        <v>201</v>
      </c>
      <c r="AR9" s="12">
        <v>0.97706400000000004</v>
      </c>
      <c r="AS9" s="14">
        <v>3025.804118</v>
      </c>
      <c r="AU9" s="1" t="s">
        <v>197</v>
      </c>
      <c r="AV9" s="1" t="s">
        <v>193</v>
      </c>
      <c r="AW9" s="12">
        <v>0.99683809999999995</v>
      </c>
      <c r="AX9" s="14">
        <v>1100.5509999999999</v>
      </c>
      <c r="AZ9" s="1" t="s">
        <v>201</v>
      </c>
      <c r="BA9" s="23">
        <v>0.9999806</v>
      </c>
      <c r="BB9" s="25">
        <v>88.003110000000007</v>
      </c>
      <c r="BD9" s="1" t="s">
        <v>201</v>
      </c>
      <c r="BE9" s="14">
        <f t="shared" si="9"/>
        <v>2148.462321</v>
      </c>
      <c r="BF9" s="14">
        <f t="shared" si="10"/>
        <v>3025.804118</v>
      </c>
      <c r="BG9" s="14">
        <f>+AX11</f>
        <v>1976.5089</v>
      </c>
      <c r="BH9" s="14">
        <f>+AX12</f>
        <v>902.76419999999996</v>
      </c>
      <c r="BI9" s="14">
        <f t="shared" si="11"/>
        <v>88.003110000000007</v>
      </c>
    </row>
    <row r="10" spans="2:62" x14ac:dyDescent="0.3">
      <c r="B10" s="6" t="s">
        <v>191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191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191</v>
      </c>
      <c r="O10" s="18">
        <v>-0.70091599999999998</v>
      </c>
      <c r="P10" s="17">
        <v>305803.09999999998</v>
      </c>
      <c r="R10" s="6" t="s">
        <v>191</v>
      </c>
      <c r="S10" s="18">
        <v>3.9317999999999999E-2</v>
      </c>
      <c r="T10" s="17">
        <v>224458</v>
      </c>
      <c r="V10" s="6" t="s">
        <v>191</v>
      </c>
      <c r="W10" s="32">
        <v>0.99999700000000002</v>
      </c>
      <c r="X10" s="17">
        <v>433.14919800000001</v>
      </c>
      <c r="Z10" s="6" t="s">
        <v>191</v>
      </c>
      <c r="AA10" s="32">
        <v>0.99969300000000005</v>
      </c>
      <c r="AB10" s="17">
        <v>4105.2196100000001</v>
      </c>
      <c r="AD10" s="6" t="s">
        <v>191</v>
      </c>
      <c r="AE10" s="17">
        <f t="shared" si="3"/>
        <v>305803.09999999998</v>
      </c>
      <c r="AF10" s="17">
        <f t="shared" si="4"/>
        <v>224458</v>
      </c>
      <c r="AG10" s="17">
        <f t="shared" si="5"/>
        <v>23648.33</v>
      </c>
      <c r="AH10" s="17">
        <f t="shared" si="6"/>
        <v>20252.46</v>
      </c>
      <c r="AI10" s="17">
        <f t="shared" si="7"/>
        <v>433.14919800000001</v>
      </c>
      <c r="AJ10" s="17">
        <f t="shared" si="0"/>
        <v>425.01549999999997</v>
      </c>
      <c r="AK10" s="14">
        <f t="shared" si="8"/>
        <v>4105.2196100000001</v>
      </c>
      <c r="AM10" s="6" t="s">
        <v>288</v>
      </c>
      <c r="AN10" s="18">
        <v>0.98303399999999996</v>
      </c>
      <c r="AO10" s="17">
        <v>53755.513460000002</v>
      </c>
      <c r="AQ10" s="6" t="s">
        <v>288</v>
      </c>
      <c r="AR10" s="18">
        <v>0.99701899999999999</v>
      </c>
      <c r="AS10" s="17">
        <v>22532.557326999999</v>
      </c>
      <c r="AU10" s="6" t="s">
        <v>197</v>
      </c>
      <c r="AV10" s="6" t="s">
        <v>33</v>
      </c>
      <c r="AW10" s="18">
        <v>0.9985077</v>
      </c>
      <c r="AX10" s="17">
        <v>756.05920000000003</v>
      </c>
    </row>
    <row r="11" spans="2:62" x14ac:dyDescent="0.3">
      <c r="B11" s="1" t="s">
        <v>175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175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175</v>
      </c>
      <c r="O11" s="12">
        <v>0.97311099999999995</v>
      </c>
      <c r="P11" s="14">
        <v>2287439</v>
      </c>
      <c r="R11" s="1" t="s">
        <v>175</v>
      </c>
      <c r="S11" s="12">
        <v>0.98591399999999996</v>
      </c>
      <c r="T11" s="14">
        <v>1656545</v>
      </c>
      <c r="V11" s="1" t="s">
        <v>175</v>
      </c>
      <c r="W11" s="31">
        <v>0.99999499999999997</v>
      </c>
      <c r="X11" s="14">
        <v>30356.430119000001</v>
      </c>
      <c r="Z11" s="1" t="s">
        <v>175</v>
      </c>
      <c r="AA11" s="31">
        <v>0.99996600000000002</v>
      </c>
      <c r="AB11" s="14">
        <v>81396.828680000006</v>
      </c>
      <c r="AD11" s="1" t="s">
        <v>175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N11" s="12"/>
      <c r="AO11" s="14"/>
      <c r="AQ11" s="14"/>
      <c r="AR11" s="14"/>
      <c r="AS11" s="14"/>
      <c r="AU11" s="1" t="s">
        <v>201</v>
      </c>
      <c r="AV11" s="1" t="s">
        <v>193</v>
      </c>
      <c r="AW11" s="12">
        <v>0.99021340000000002</v>
      </c>
      <c r="AX11" s="14">
        <v>1976.5089</v>
      </c>
    </row>
    <row r="12" spans="2:62" x14ac:dyDescent="0.3">
      <c r="B12" s="6" t="s">
        <v>176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176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176</v>
      </c>
      <c r="O12" s="18">
        <v>0.90446300000000002</v>
      </c>
      <c r="P12" s="17">
        <v>2800556</v>
      </c>
      <c r="R12" s="6" t="s">
        <v>176</v>
      </c>
      <c r="S12" s="18">
        <v>0.96489400000000003</v>
      </c>
      <c r="T12" s="17">
        <v>1697944</v>
      </c>
      <c r="V12" s="6" t="s">
        <v>176</v>
      </c>
      <c r="W12" s="32">
        <v>0.99999700000000002</v>
      </c>
      <c r="X12" s="17">
        <v>16474.693931999998</v>
      </c>
      <c r="Z12" s="6" t="s">
        <v>176</v>
      </c>
      <c r="AA12" s="32">
        <v>0.99982899999999997</v>
      </c>
      <c r="AB12" s="17">
        <v>118520.743653</v>
      </c>
      <c r="AD12" s="6" t="s">
        <v>176</v>
      </c>
      <c r="AE12" s="17">
        <f t="shared" si="3"/>
        <v>2800556</v>
      </c>
      <c r="AF12" s="17">
        <f t="shared" si="4"/>
        <v>1697944</v>
      </c>
      <c r="AG12" s="17">
        <f t="shared" si="5"/>
        <v>1102529.6399999999</v>
      </c>
      <c r="AH12" s="17">
        <f t="shared" si="6"/>
        <v>963692.8</v>
      </c>
      <c r="AI12" s="17">
        <f t="shared" si="7"/>
        <v>16474.693931999998</v>
      </c>
      <c r="AJ12" s="17">
        <f t="shared" si="0"/>
        <v>16566.6181</v>
      </c>
      <c r="AK12" s="14">
        <f t="shared" si="8"/>
        <v>118520.743653</v>
      </c>
      <c r="AN12" s="12"/>
      <c r="AO12" s="14"/>
      <c r="AQ12" s="14"/>
      <c r="AR12" s="14"/>
      <c r="AS12" s="14"/>
      <c r="AU12" s="6" t="s">
        <v>201</v>
      </c>
      <c r="AV12" s="6" t="s">
        <v>33</v>
      </c>
      <c r="AW12" s="18">
        <v>0.99795840000000002</v>
      </c>
      <c r="AX12" s="17">
        <v>902.76419999999996</v>
      </c>
      <c r="BD12" s="19" t="s">
        <v>203</v>
      </c>
    </row>
    <row r="13" spans="2:62" x14ac:dyDescent="0.3">
      <c r="B13" s="1" t="s">
        <v>177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177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177</v>
      </c>
      <c r="O13" s="12">
        <v>-327.19220100000001</v>
      </c>
      <c r="P13" s="14">
        <v>46909600</v>
      </c>
      <c r="R13" s="1" t="s">
        <v>177</v>
      </c>
      <c r="S13" s="12">
        <v>-4.0384000000000003E-2</v>
      </c>
      <c r="T13" s="14">
        <v>2603995</v>
      </c>
      <c r="V13" s="1" t="s">
        <v>177</v>
      </c>
      <c r="W13" s="31">
        <v>0.99999099999999996</v>
      </c>
      <c r="X13" s="14">
        <v>7591.1932999999999</v>
      </c>
      <c r="Z13" s="1" t="s">
        <v>177</v>
      </c>
      <c r="AA13" s="31">
        <v>0.99989799999999995</v>
      </c>
      <c r="AB13" s="14">
        <v>26091.076145999999</v>
      </c>
      <c r="AD13" s="1" t="s">
        <v>177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M13" s="14"/>
      <c r="AN13" s="14"/>
      <c r="AO13" s="14"/>
      <c r="AQ13" s="14"/>
      <c r="AR13" s="14"/>
      <c r="AS13" s="14"/>
      <c r="AU13" s="1" t="s">
        <v>288</v>
      </c>
      <c r="AV13" s="1" t="s">
        <v>193</v>
      </c>
      <c r="AW13" s="12">
        <v>0.99908359999999996</v>
      </c>
      <c r="AX13" s="14">
        <v>12493.0429</v>
      </c>
    </row>
    <row r="14" spans="2:62" x14ac:dyDescent="0.3">
      <c r="B14" s="6" t="s">
        <v>178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178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178</v>
      </c>
      <c r="O14" s="18">
        <v>2.6889E-2</v>
      </c>
      <c r="P14" s="17">
        <v>353453</v>
      </c>
      <c r="R14" s="6" t="s">
        <v>178</v>
      </c>
      <c r="S14" s="18">
        <v>0.87112000000000001</v>
      </c>
      <c r="T14" s="17">
        <v>125949</v>
      </c>
      <c r="V14" s="6" t="s">
        <v>178</v>
      </c>
      <c r="W14" s="32">
        <v>0.99999000000000005</v>
      </c>
      <c r="X14" s="17">
        <v>1140.2147070000001</v>
      </c>
      <c r="Z14" s="6" t="s">
        <v>178</v>
      </c>
      <c r="AA14" s="32">
        <v>0.99961699999999998</v>
      </c>
      <c r="AB14" s="17">
        <v>7011.0990389999997</v>
      </c>
      <c r="AD14" s="6" t="s">
        <v>178</v>
      </c>
      <c r="AE14" s="17">
        <f t="shared" si="3"/>
        <v>353453</v>
      </c>
      <c r="AF14" s="17">
        <f t="shared" si="4"/>
        <v>125949</v>
      </c>
      <c r="AG14" s="17">
        <f t="shared" si="5"/>
        <v>355071.95</v>
      </c>
      <c r="AH14" s="17">
        <f t="shared" si="6"/>
        <v>48038.9</v>
      </c>
      <c r="AI14" s="17">
        <f t="shared" si="7"/>
        <v>1140.2147070000001</v>
      </c>
      <c r="AJ14" s="17">
        <f t="shared" si="0"/>
        <v>1157.9239</v>
      </c>
      <c r="AK14" s="14">
        <f t="shared" si="8"/>
        <v>7011.0990389999997</v>
      </c>
      <c r="AM14" s="14"/>
      <c r="AN14" s="14"/>
      <c r="AO14" s="14"/>
      <c r="AQ14" s="14"/>
      <c r="AR14" s="14"/>
      <c r="AS14" s="14"/>
      <c r="AU14" s="6" t="s">
        <v>288</v>
      </c>
      <c r="AV14" s="6" t="s">
        <v>33</v>
      </c>
      <c r="AW14" s="18">
        <v>0.99956429999999996</v>
      </c>
      <c r="AX14" s="17">
        <v>8614.8230000000003</v>
      </c>
      <c r="BD14" s="13" t="s">
        <v>198</v>
      </c>
    </row>
    <row r="15" spans="2:62" x14ac:dyDescent="0.3">
      <c r="B15" s="1" t="s">
        <v>179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180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180</v>
      </c>
      <c r="O15" s="12">
        <v>0.29647899999999999</v>
      </c>
      <c r="P15" s="14">
        <v>30580360</v>
      </c>
      <c r="R15" s="1" t="s">
        <v>180</v>
      </c>
      <c r="S15" s="12">
        <v>0.833893</v>
      </c>
      <c r="T15" s="14">
        <v>14859300</v>
      </c>
      <c r="V15" s="1" t="s">
        <v>180</v>
      </c>
      <c r="W15" s="31">
        <v>0.99999800000000005</v>
      </c>
      <c r="X15" s="14">
        <v>47866.562242</v>
      </c>
      <c r="Z15" s="1" t="s">
        <v>180</v>
      </c>
      <c r="AA15" s="31">
        <v>0.99987199999999998</v>
      </c>
      <c r="AB15" s="14">
        <v>412581.51297400001</v>
      </c>
      <c r="AD15" s="1" t="s">
        <v>180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M15" s="14"/>
      <c r="AN15" s="14"/>
      <c r="AO15" s="14"/>
      <c r="AQ15" s="14"/>
      <c r="AR15" s="14"/>
      <c r="AS15" s="14"/>
    </row>
    <row r="16" spans="2:62" x14ac:dyDescent="0.3">
      <c r="B16" s="6" t="s">
        <v>180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179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179</v>
      </c>
      <c r="O16" s="18">
        <v>0.52243200000000001</v>
      </c>
      <c r="P16" s="17">
        <v>283382.09999999998</v>
      </c>
      <c r="R16" s="6" t="s">
        <v>179</v>
      </c>
      <c r="S16" s="18">
        <v>0.96743000000000001</v>
      </c>
      <c r="T16" s="17">
        <v>73683.27</v>
      </c>
      <c r="V16" s="6" t="s">
        <v>179</v>
      </c>
      <c r="W16" s="32">
        <v>0.999996</v>
      </c>
      <c r="X16" s="17">
        <v>829.90016600000001</v>
      </c>
      <c r="Z16" s="6" t="s">
        <v>179</v>
      </c>
      <c r="AA16" s="32">
        <v>0.99970099999999995</v>
      </c>
      <c r="AB16" s="17">
        <v>7087.1279500000001</v>
      </c>
      <c r="AD16" s="6" t="s">
        <v>179</v>
      </c>
      <c r="AE16" s="17">
        <f t="shared" si="3"/>
        <v>283382.09999999998</v>
      </c>
      <c r="AF16" s="17">
        <f t="shared" si="4"/>
        <v>73683.27</v>
      </c>
      <c r="AG16" s="17">
        <f t="shared" si="5"/>
        <v>62216.71</v>
      </c>
      <c r="AH16" s="17">
        <f t="shared" si="6"/>
        <v>55278.55</v>
      </c>
      <c r="AI16" s="17">
        <f t="shared" si="7"/>
        <v>829.90016600000001</v>
      </c>
      <c r="AJ16" s="17">
        <f t="shared" si="0"/>
        <v>55089.632700000002</v>
      </c>
      <c r="AK16" s="14">
        <f t="shared" si="8"/>
        <v>7087.1279500000001</v>
      </c>
      <c r="AM16" s="14"/>
      <c r="AN16" s="14"/>
      <c r="AO16" s="14"/>
      <c r="AQ16" s="14"/>
      <c r="AR16" s="14"/>
      <c r="AS16" s="14"/>
      <c r="BD16" s="9" t="s">
        <v>195</v>
      </c>
      <c r="BE16" s="9" t="s">
        <v>138</v>
      </c>
      <c r="BF16" s="9" t="s">
        <v>139</v>
      </c>
      <c r="BG16" s="9" t="s">
        <v>193</v>
      </c>
      <c r="BH16" s="9" t="s">
        <v>33</v>
      </c>
      <c r="BI16" s="9" t="s">
        <v>202</v>
      </c>
    </row>
    <row r="17" spans="2:61" x14ac:dyDescent="0.3">
      <c r="BD17" s="1" t="s">
        <v>196</v>
      </c>
      <c r="BE17" s="12">
        <f>+_xlfn.XLOOKUP($BD17,$AM$7:$AM$9,$AN$7:$AN$9)</f>
        <v>0.98572300000000002</v>
      </c>
      <c r="BF17" s="12">
        <f>+_xlfn.XLOOKUP(BD17,$AQ$7:$AQ$9,$AR$7:$AR$9)</f>
        <v>0.99224599999999996</v>
      </c>
      <c r="BG17" s="12">
        <f>+AW7</f>
        <v>-0.25174930000000001</v>
      </c>
      <c r="BH17" s="12">
        <f>+AW8</f>
        <v>0.99300429999999995</v>
      </c>
      <c r="BI17" s="12">
        <f>+BA7</f>
        <v>0.99999979999999999</v>
      </c>
    </row>
    <row r="18" spans="2:61" x14ac:dyDescent="0.3">
      <c r="BD18" s="6" t="s">
        <v>197</v>
      </c>
      <c r="BE18" s="18">
        <f t="shared" ref="BE18:BE19" si="12">+_xlfn.XLOOKUP($BD18,$AM$7:$AM$9,$AN$7:$AN$9)</f>
        <v>0.94224399999999997</v>
      </c>
      <c r="BF18" s="18">
        <f t="shared" ref="BF18:BF19" si="13">+_xlfn.XLOOKUP(BD18,$AQ$7:$AQ$9,$AR$7:$AR$9)</f>
        <v>0.91772100000000001</v>
      </c>
      <c r="BG18" s="18">
        <f>+AW9</f>
        <v>0.99683809999999995</v>
      </c>
      <c r="BH18" s="18">
        <f>+AW10</f>
        <v>0.9985077</v>
      </c>
      <c r="BI18" s="18">
        <f t="shared" ref="BI18:BI19" si="14">+BA8</f>
        <v>0.99997420000000004</v>
      </c>
    </row>
    <row r="19" spans="2:61" ht="16.8" x14ac:dyDescent="0.3">
      <c r="B19" s="13" t="s">
        <v>183</v>
      </c>
      <c r="I19" s="13" t="s">
        <v>183</v>
      </c>
      <c r="N19" s="13" t="s">
        <v>183</v>
      </c>
      <c r="R19" s="13" t="s">
        <v>183</v>
      </c>
      <c r="T19" s="21"/>
      <c r="V19" s="13" t="s">
        <v>183</v>
      </c>
      <c r="Z19" s="13" t="s">
        <v>183</v>
      </c>
      <c r="AD19" s="13" t="s">
        <v>183</v>
      </c>
      <c r="AE19" s="13"/>
      <c r="AF19" s="13"/>
      <c r="BD19" s="1" t="s">
        <v>201</v>
      </c>
      <c r="BE19" s="12">
        <f t="shared" si="12"/>
        <v>0.98843700000000001</v>
      </c>
      <c r="BF19" s="12">
        <f t="shared" si="13"/>
        <v>0.97706400000000004</v>
      </c>
      <c r="BG19" s="12">
        <f>+AW11</f>
        <v>0.99021340000000002</v>
      </c>
      <c r="BH19" s="12">
        <f>+AW12</f>
        <v>0.99795840000000002</v>
      </c>
      <c r="BI19" s="12">
        <f t="shared" si="14"/>
        <v>0.9999806</v>
      </c>
    </row>
    <row r="20" spans="2:61" ht="16.8" x14ac:dyDescent="0.3">
      <c r="T20" s="21"/>
    </row>
    <row r="21" spans="2:61" x14ac:dyDescent="0.3">
      <c r="B21" s="9" t="s">
        <v>166</v>
      </c>
      <c r="C21" s="9" t="s">
        <v>167</v>
      </c>
      <c r="D21" s="9" t="s">
        <v>168</v>
      </c>
      <c r="E21" s="9" t="s">
        <v>169</v>
      </c>
      <c r="F21" s="9" t="s">
        <v>170</v>
      </c>
      <c r="G21" s="9" t="s">
        <v>182</v>
      </c>
      <c r="I21" s="9" t="s">
        <v>166</v>
      </c>
      <c r="J21" s="9" t="s">
        <v>187</v>
      </c>
      <c r="K21" s="9" t="s">
        <v>188</v>
      </c>
      <c r="L21" s="9" t="s">
        <v>190</v>
      </c>
      <c r="N21" s="9" t="s">
        <v>166</v>
      </c>
      <c r="O21" s="9" t="s">
        <v>187</v>
      </c>
      <c r="P21" s="9" t="s">
        <v>188</v>
      </c>
      <c r="R21" s="9" t="s">
        <v>166</v>
      </c>
      <c r="S21" s="9" t="s">
        <v>187</v>
      </c>
      <c r="T21" s="9" t="s">
        <v>188</v>
      </c>
      <c r="V21" s="9" t="s">
        <v>166</v>
      </c>
      <c r="W21" s="9" t="s">
        <v>187</v>
      </c>
      <c r="X21" s="9" t="s">
        <v>188</v>
      </c>
      <c r="Z21" s="9" t="s">
        <v>166</v>
      </c>
      <c r="AA21" s="9" t="s">
        <v>187</v>
      </c>
      <c r="AB21" s="9" t="s">
        <v>188</v>
      </c>
      <c r="AD21" s="9" t="s">
        <v>166</v>
      </c>
      <c r="AE21" s="9" t="s">
        <v>138</v>
      </c>
      <c r="AF21" s="9" t="s">
        <v>139</v>
      </c>
      <c r="AG21" s="9" t="s">
        <v>193</v>
      </c>
      <c r="AH21" s="9" t="s">
        <v>33</v>
      </c>
      <c r="AI21" s="9" t="s">
        <v>243</v>
      </c>
      <c r="AJ21" s="9" t="s">
        <v>194</v>
      </c>
      <c r="AK21" s="9" t="s">
        <v>272</v>
      </c>
    </row>
    <row r="22" spans="2:61" x14ac:dyDescent="0.3">
      <c r="B22" s="1" t="s">
        <v>171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171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171</v>
      </c>
      <c r="O22" s="12">
        <v>0.82512600000000003</v>
      </c>
      <c r="P22" s="14">
        <v>5285818</v>
      </c>
      <c r="R22" s="1" t="s">
        <v>171</v>
      </c>
      <c r="S22" s="12">
        <v>0.64468300000000001</v>
      </c>
      <c r="T22" s="14">
        <v>7558374</v>
      </c>
      <c r="V22" s="1" t="s">
        <v>171</v>
      </c>
      <c r="W22" s="31">
        <v>0.99996799999999997</v>
      </c>
      <c r="X22" s="14">
        <v>72886.599426000001</v>
      </c>
      <c r="Z22" s="1" t="s">
        <v>171</v>
      </c>
      <c r="AA22" s="31">
        <v>0.998919</v>
      </c>
      <c r="AB22" s="14">
        <v>424624.7</v>
      </c>
      <c r="AD22" s="1" t="s">
        <v>171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61" ht="16.8" x14ac:dyDescent="0.3">
      <c r="B23" s="6" t="s">
        <v>172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172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172</v>
      </c>
      <c r="O23" s="18">
        <v>0.85929699999999998</v>
      </c>
      <c r="P23" s="17">
        <v>655919.19999999995</v>
      </c>
      <c r="R23" s="6" t="s">
        <v>172</v>
      </c>
      <c r="S23" s="18">
        <v>0.86842799999999998</v>
      </c>
      <c r="T23" s="17">
        <v>634278.5</v>
      </c>
      <c r="V23" s="6" t="s">
        <v>172</v>
      </c>
      <c r="W23" s="32">
        <v>0.999977</v>
      </c>
      <c r="X23" s="17">
        <v>8395.1301469999999</v>
      </c>
      <c r="Z23" s="6" t="s">
        <v>172</v>
      </c>
      <c r="AA23" s="32">
        <v>0.99666699999999997</v>
      </c>
      <c r="AB23" s="17">
        <v>101494.2</v>
      </c>
      <c r="AD23" s="6" t="s">
        <v>172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M23" s="27"/>
      <c r="AN23" s="27"/>
      <c r="AO23" s="27"/>
      <c r="AQ23" s="27"/>
      <c r="AR23" s="27"/>
      <c r="AS23" s="27"/>
    </row>
    <row r="24" spans="2:61" ht="16.8" x14ac:dyDescent="0.3">
      <c r="B24" s="1" t="s">
        <v>173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173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173</v>
      </c>
      <c r="O24" s="12">
        <v>0.91229700000000002</v>
      </c>
      <c r="P24" s="14">
        <v>711743.3</v>
      </c>
      <c r="R24" s="1" t="s">
        <v>173</v>
      </c>
      <c r="S24" s="12">
        <v>0.43064400000000003</v>
      </c>
      <c r="T24" s="14">
        <v>1813809</v>
      </c>
      <c r="V24" s="1" t="s">
        <v>173</v>
      </c>
      <c r="W24" s="31">
        <v>0.99997899999999995</v>
      </c>
      <c r="X24" s="14">
        <v>11331.678796</v>
      </c>
      <c r="Z24" s="1" t="s">
        <v>173</v>
      </c>
      <c r="AA24" s="31">
        <v>0.99987199999999998</v>
      </c>
      <c r="AB24" s="14">
        <v>27934.33</v>
      </c>
      <c r="AD24" s="1" t="s">
        <v>173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M24" s="27"/>
      <c r="AN24" s="28"/>
      <c r="AO24" s="28"/>
      <c r="AQ24" s="28"/>
      <c r="AR24" s="28"/>
      <c r="AS24" s="28"/>
    </row>
    <row r="25" spans="2:61" ht="16.8" x14ac:dyDescent="0.3">
      <c r="B25" s="6" t="s">
        <v>191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191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191</v>
      </c>
      <c r="O25" s="18">
        <v>0.81773499999999999</v>
      </c>
      <c r="P25" s="17">
        <v>96842.15</v>
      </c>
      <c r="R25" s="6" t="s">
        <v>191</v>
      </c>
      <c r="S25" s="18">
        <v>-0.70466200000000001</v>
      </c>
      <c r="T25" s="17">
        <v>300031.3</v>
      </c>
      <c r="V25" s="6" t="s">
        <v>191</v>
      </c>
      <c r="W25" s="32">
        <v>0.99985199999999996</v>
      </c>
      <c r="X25" s="17">
        <v>2856.3407999999999</v>
      </c>
      <c r="Z25" s="6" t="s">
        <v>191</v>
      </c>
      <c r="AA25" s="32">
        <v>0.99764399999999998</v>
      </c>
      <c r="AB25" s="17">
        <v>11391.69</v>
      </c>
      <c r="AD25" s="6" t="s">
        <v>191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M25" s="27"/>
      <c r="AN25" s="28"/>
      <c r="AO25" s="28"/>
      <c r="AQ25" s="28"/>
      <c r="AR25" s="28"/>
      <c r="AS25" s="28"/>
    </row>
    <row r="26" spans="2:61" ht="16.8" x14ac:dyDescent="0.3">
      <c r="B26" s="1" t="s">
        <v>175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175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175</v>
      </c>
      <c r="O26" s="12">
        <v>0.98488399999999998</v>
      </c>
      <c r="P26" s="14">
        <v>1726783</v>
      </c>
      <c r="R26" s="1" t="s">
        <v>175</v>
      </c>
      <c r="S26" s="12">
        <v>0.98622900000000002</v>
      </c>
      <c r="T26" s="14">
        <v>1646926</v>
      </c>
      <c r="V26" s="1" t="s">
        <v>175</v>
      </c>
      <c r="W26" s="31">
        <v>0.99998200000000004</v>
      </c>
      <c r="X26" s="14">
        <v>59096.011952000001</v>
      </c>
      <c r="Z26" s="1" t="s">
        <v>175</v>
      </c>
      <c r="AA26" s="31">
        <v>0.99986600000000003</v>
      </c>
      <c r="AB26" s="14">
        <v>162463.20000000001</v>
      </c>
      <c r="AD26" s="1" t="s">
        <v>175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M26" s="27"/>
      <c r="AN26" s="28"/>
      <c r="AO26" s="28"/>
      <c r="AQ26" s="28"/>
      <c r="AR26" s="28"/>
      <c r="AS26" s="28"/>
    </row>
    <row r="27" spans="2:61" x14ac:dyDescent="0.3">
      <c r="B27" s="6" t="s">
        <v>176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176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176</v>
      </c>
      <c r="O27" s="18">
        <v>0.94516</v>
      </c>
      <c r="P27" s="17">
        <v>2120841</v>
      </c>
      <c r="R27" s="6" t="s">
        <v>176</v>
      </c>
      <c r="S27" s="18">
        <v>0.94915899999999997</v>
      </c>
      <c r="T27" s="17">
        <v>2056768</v>
      </c>
      <c r="V27" s="6" t="s">
        <v>176</v>
      </c>
      <c r="W27" s="32">
        <v>0.99997999999999998</v>
      </c>
      <c r="X27" s="17">
        <v>40276.492481000001</v>
      </c>
      <c r="Z27" s="6" t="s">
        <v>176</v>
      </c>
      <c r="AA27" s="32">
        <v>0.99753099999999995</v>
      </c>
      <c r="AB27" s="17">
        <v>453190.5</v>
      </c>
      <c r="AD27" s="6" t="s">
        <v>176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61" x14ac:dyDescent="0.3">
      <c r="B28" s="1" t="s">
        <v>177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177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177</v>
      </c>
      <c r="O28" s="12">
        <v>0.84834900000000002</v>
      </c>
      <c r="P28" s="14">
        <v>999266.5</v>
      </c>
      <c r="R28" s="1" t="s">
        <v>177</v>
      </c>
      <c r="S28" s="12">
        <v>-0.34762500000000002</v>
      </c>
      <c r="T28" s="14">
        <v>2976087</v>
      </c>
      <c r="V28" s="1" t="s">
        <v>177</v>
      </c>
      <c r="W28" s="31">
        <v>0.99994000000000005</v>
      </c>
      <c r="X28" s="14">
        <v>20204.683582000001</v>
      </c>
      <c r="Z28" s="1" t="s">
        <v>177</v>
      </c>
      <c r="AA28" s="31">
        <v>0.99860599999999999</v>
      </c>
      <c r="AB28" s="14">
        <v>97029.98</v>
      </c>
      <c r="AD28" s="1" t="s">
        <v>177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61" x14ac:dyDescent="0.3">
      <c r="B29" s="6" t="s">
        <v>178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178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178</v>
      </c>
      <c r="O29" s="18">
        <v>0.83975299999999997</v>
      </c>
      <c r="P29" s="17">
        <v>140633.70000000001</v>
      </c>
      <c r="R29" s="6" t="s">
        <v>178</v>
      </c>
      <c r="S29" s="18">
        <v>0.86644399999999999</v>
      </c>
      <c r="T29" s="17">
        <v>128388.6</v>
      </c>
      <c r="V29" s="6" t="s">
        <v>178</v>
      </c>
      <c r="W29" s="32">
        <v>0.99993799999999999</v>
      </c>
      <c r="X29" s="17">
        <v>2835.1556179999998</v>
      </c>
      <c r="Z29" s="6" t="s">
        <v>178</v>
      </c>
      <c r="AA29" s="32">
        <v>0.99784799999999996</v>
      </c>
      <c r="AB29" s="17">
        <v>16657.2</v>
      </c>
      <c r="AD29" s="6" t="s">
        <v>178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61" x14ac:dyDescent="0.3">
      <c r="B30" s="1" t="s">
        <v>179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180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180</v>
      </c>
      <c r="O30" s="12">
        <v>0.83721299999999998</v>
      </c>
      <c r="P30" s="14">
        <v>14749160</v>
      </c>
      <c r="R30" s="1" t="s">
        <v>180</v>
      </c>
      <c r="S30" s="12">
        <v>0.84466699999999995</v>
      </c>
      <c r="T30" s="14">
        <v>14407510</v>
      </c>
      <c r="V30" s="1" t="s">
        <v>180</v>
      </c>
      <c r="W30" s="31">
        <v>0.999973</v>
      </c>
      <c r="X30" s="14">
        <v>189197.220477</v>
      </c>
      <c r="Z30" s="1" t="s">
        <v>180</v>
      </c>
      <c r="AA30" s="31">
        <v>0.99802000000000002</v>
      </c>
      <c r="AB30" s="14">
        <v>1626782</v>
      </c>
      <c r="AD30" s="1" t="s">
        <v>180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61" x14ac:dyDescent="0.3">
      <c r="B31" s="6" t="s">
        <v>180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179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179</v>
      </c>
      <c r="O31" s="18">
        <v>0.94254700000000002</v>
      </c>
      <c r="P31" s="17">
        <v>97667.94</v>
      </c>
      <c r="R31" s="6" t="s">
        <v>179</v>
      </c>
      <c r="S31" s="18">
        <v>0.95194400000000001</v>
      </c>
      <c r="T31" s="17">
        <v>89659.199999999997</v>
      </c>
      <c r="V31" s="6" t="s">
        <v>179</v>
      </c>
      <c r="W31" s="32">
        <v>0.99996499999999999</v>
      </c>
      <c r="X31" s="17">
        <v>2423.543439</v>
      </c>
      <c r="Z31" s="6" t="s">
        <v>179</v>
      </c>
      <c r="AA31" s="32">
        <v>0.98897800000000002</v>
      </c>
      <c r="AB31" s="17">
        <v>43128.99</v>
      </c>
      <c r="AD31" s="6" t="s">
        <v>179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61" ht="16.8" x14ac:dyDescent="0.3">
      <c r="AD32" s="22"/>
      <c r="AE32" s="22"/>
      <c r="AF32" s="22"/>
    </row>
    <row r="34" spans="2:24" x14ac:dyDescent="0.3">
      <c r="B34" s="13" t="s">
        <v>184</v>
      </c>
      <c r="I34" s="13" t="s">
        <v>184</v>
      </c>
      <c r="V34" s="13" t="s">
        <v>184</v>
      </c>
    </row>
    <row r="36" spans="2:24" x14ac:dyDescent="0.3">
      <c r="B36" s="9" t="s">
        <v>166</v>
      </c>
      <c r="C36" s="9" t="s">
        <v>167</v>
      </c>
      <c r="D36" s="9" t="s">
        <v>168</v>
      </c>
      <c r="E36" s="9" t="s">
        <v>169</v>
      </c>
      <c r="F36" s="9" t="s">
        <v>170</v>
      </c>
      <c r="G36" s="9" t="s">
        <v>182</v>
      </c>
      <c r="I36" s="9" t="s">
        <v>166</v>
      </c>
      <c r="J36" s="9" t="s">
        <v>187</v>
      </c>
      <c r="K36" s="9" t="s">
        <v>188</v>
      </c>
      <c r="L36" s="9" t="s">
        <v>190</v>
      </c>
      <c r="V36" s="9" t="s">
        <v>166</v>
      </c>
      <c r="W36" s="9" t="s">
        <v>187</v>
      </c>
      <c r="X36" s="9" t="s">
        <v>188</v>
      </c>
    </row>
    <row r="37" spans="2:24" x14ac:dyDescent="0.3">
      <c r="B37" s="1" t="s">
        <v>171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171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171</v>
      </c>
      <c r="W37" s="31">
        <v>0.99801799999999996</v>
      </c>
      <c r="X37" s="14">
        <v>584602.6</v>
      </c>
    </row>
    <row r="38" spans="2:24" x14ac:dyDescent="0.3">
      <c r="B38" s="6" t="s">
        <v>172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172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172</v>
      </c>
      <c r="W38" s="32">
        <v>0.99567000000000005</v>
      </c>
      <c r="X38" s="17">
        <v>118904.3</v>
      </c>
    </row>
    <row r="39" spans="2:24" x14ac:dyDescent="0.3">
      <c r="B39" s="1" t="s">
        <v>173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173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173</v>
      </c>
      <c r="W39" s="31">
        <v>0.99534699999999998</v>
      </c>
      <c r="X39" s="14">
        <v>169254.2</v>
      </c>
    </row>
    <row r="40" spans="2:24" x14ac:dyDescent="0.3">
      <c r="B40" s="6" t="s">
        <v>174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174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191</v>
      </c>
      <c r="W40" s="32">
        <v>0.99124800000000002</v>
      </c>
      <c r="X40" s="17">
        <v>22240.09</v>
      </c>
    </row>
    <row r="41" spans="2:24" x14ac:dyDescent="0.3">
      <c r="B41" s="1" t="s">
        <v>175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175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175</v>
      </c>
      <c r="W41" s="31">
        <v>0.99727699999999997</v>
      </c>
      <c r="X41" s="14">
        <v>755112.7</v>
      </c>
    </row>
    <row r="42" spans="2:24" x14ac:dyDescent="0.3">
      <c r="B42" s="6" t="s">
        <v>176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176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176</v>
      </c>
      <c r="W42" s="32">
        <v>0.99294800000000005</v>
      </c>
      <c r="X42" s="17">
        <v>787945.7</v>
      </c>
    </row>
    <row r="43" spans="2:24" x14ac:dyDescent="0.3">
      <c r="B43" s="1" t="s">
        <v>177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177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177</v>
      </c>
      <c r="W43" s="31">
        <v>0.99575800000000003</v>
      </c>
      <c r="X43" s="14">
        <v>172431</v>
      </c>
    </row>
    <row r="44" spans="2:24" x14ac:dyDescent="0.3">
      <c r="B44" s="6" t="s">
        <v>178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178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178</v>
      </c>
      <c r="W44" s="32">
        <v>0.99148400000000003</v>
      </c>
      <c r="X44" s="17">
        <v>33780.839999999997</v>
      </c>
    </row>
    <row r="45" spans="2:24" x14ac:dyDescent="0.3">
      <c r="B45" s="1" t="s">
        <v>179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180</v>
      </c>
      <c r="J45" s="12">
        <v>0.98804809999999998</v>
      </c>
      <c r="K45" s="14">
        <v>4077694.45</v>
      </c>
      <c r="L45" s="14">
        <f t="shared" si="25"/>
        <v>0</v>
      </c>
      <c r="V45" s="1" t="s">
        <v>180</v>
      </c>
      <c r="W45" s="31">
        <v>0.993228</v>
      </c>
      <c r="X45" s="14">
        <v>3069392</v>
      </c>
    </row>
    <row r="46" spans="2:24" x14ac:dyDescent="0.3">
      <c r="B46" s="6" t="s">
        <v>180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179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179</v>
      </c>
      <c r="W46" s="32">
        <v>0.99019000000000001</v>
      </c>
      <c r="X46" s="17">
        <v>41331.65</v>
      </c>
    </row>
  </sheetData>
  <conditionalFormatting sqref="AE7: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O16 AQ13:AS16 AE7:AK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3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3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204</v>
      </c>
    </row>
    <row r="28" spans="2:3" x14ac:dyDescent="0.3">
      <c r="B28" s="1">
        <v>26</v>
      </c>
      <c r="C28" s="1" t="s">
        <v>215</v>
      </c>
    </row>
    <row r="29" spans="2:3" x14ac:dyDescent="0.3">
      <c r="B29" s="1">
        <v>27</v>
      </c>
      <c r="C29" s="1" t="s">
        <v>216</v>
      </c>
    </row>
    <row r="30" spans="2:3" x14ac:dyDescent="0.3">
      <c r="B30" s="1">
        <v>28</v>
      </c>
      <c r="C30" s="1" t="s">
        <v>217</v>
      </c>
    </row>
    <row r="31" spans="2:3" x14ac:dyDescent="0.3">
      <c r="B31" s="1">
        <v>29</v>
      </c>
      <c r="C31" s="1" t="s">
        <v>218</v>
      </c>
    </row>
    <row r="32" spans="2:3" x14ac:dyDescent="0.3">
      <c r="B32" s="1">
        <v>30</v>
      </c>
      <c r="C32" s="1" t="s">
        <v>219</v>
      </c>
    </row>
    <row r="33" spans="2:3" x14ac:dyDescent="0.3">
      <c r="B33" s="1">
        <v>31</v>
      </c>
      <c r="C33" s="1" t="s">
        <v>220</v>
      </c>
    </row>
    <row r="34" spans="2:3" x14ac:dyDescent="0.3">
      <c r="B34" s="1">
        <v>32</v>
      </c>
      <c r="C34" s="1" t="s">
        <v>221</v>
      </c>
    </row>
    <row r="35" spans="2:3" x14ac:dyDescent="0.3">
      <c r="B35" s="1">
        <v>33</v>
      </c>
      <c r="C35" s="1" t="s">
        <v>222</v>
      </c>
    </row>
    <row r="36" spans="2:3" x14ac:dyDescent="0.3">
      <c r="B36" s="1">
        <v>34</v>
      </c>
      <c r="C36" s="1" t="s">
        <v>223</v>
      </c>
    </row>
    <row r="37" spans="2:3" x14ac:dyDescent="0.3">
      <c r="B37" s="1">
        <v>35</v>
      </c>
      <c r="C37" s="1" t="s">
        <v>224</v>
      </c>
    </row>
    <row r="38" spans="2:3" x14ac:dyDescent="0.3">
      <c r="B38" s="1">
        <v>36</v>
      </c>
      <c r="C38" s="1" t="s">
        <v>225</v>
      </c>
    </row>
    <row r="39" spans="2:3" x14ac:dyDescent="0.3">
      <c r="B39" s="1">
        <v>37</v>
      </c>
      <c r="C39" s="1" t="s">
        <v>226</v>
      </c>
    </row>
    <row r="40" spans="2:3" x14ac:dyDescent="0.3">
      <c r="B40" s="1">
        <v>37</v>
      </c>
      <c r="C40" s="29" t="s">
        <v>280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205</v>
      </c>
    </row>
    <row r="3" spans="2:2" x14ac:dyDescent="0.3">
      <c r="B3" s="1" t="s">
        <v>206</v>
      </c>
    </row>
    <row r="4" spans="2:2" x14ac:dyDescent="0.3">
      <c r="B4" s="1" t="s">
        <v>207</v>
      </c>
    </row>
    <row r="5" spans="2:2" x14ac:dyDescent="0.3">
      <c r="B5" s="1" t="s">
        <v>208</v>
      </c>
    </row>
    <row r="6" spans="2:2" x14ac:dyDescent="0.3">
      <c r="B6" s="1" t="s">
        <v>209</v>
      </c>
    </row>
    <row r="7" spans="2:2" x14ac:dyDescent="0.3">
      <c r="B7" s="1" t="s">
        <v>210</v>
      </c>
    </row>
    <row r="8" spans="2:2" x14ac:dyDescent="0.3">
      <c r="B8" s="1" t="s">
        <v>211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literature review</vt:lpstr>
      <vt:lpstr>ggm</vt:lpstr>
      <vt:lpstr>structure</vt:lpstr>
      <vt:lpstr>sources</vt:lpstr>
      <vt:lpstr>modelling</vt:lpstr>
      <vt:lpstr>results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2025-03-18T18:13:23Z</dcterms:modified>
</cp:coreProperties>
</file>