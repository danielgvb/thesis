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F22D20B1-DF2F-4E22-9997-41AC0C1ACD3D}" xr6:coauthVersionLast="47" xr6:coauthVersionMax="47" xr10:uidLastSave="{00000000-0000-0000-0000-000000000000}"/>
  <bookViews>
    <workbookView xWindow="-108" yWindow="-108" windowWidth="23256" windowHeight="12456" activeTab="3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<sst xmlns="http://schemas.openxmlformats.org/spreadsheetml/2006/main" count="1096" uniqueCount="325">
  <si>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</si>
  <si>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</si>
  <si>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</si>
  <si>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</si>
  <si>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</si>
  <si>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</si>
  <si>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</si>
  <si>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</si>
  <si>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</si>
  <si>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</si>
  <si>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</si>
  <si>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</si>
  <si>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</si>
  <si>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</si>
  <si>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</si>
  <si>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</si>
  <si>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</si>
  <si>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</si>
  <si>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</si>
  <si>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</si>
  <si>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</si>
  <si>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</si>
  <si>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</si>
  <si>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</si>
  <si>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</si>
  <si>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</si>
  <si>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</si>
  <si>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</si>
  <si>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</si>
  <si>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</si>
  <si>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</si>
  <si>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</si>
  <si>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</si>
  <si>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</si>
  <si>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</si>
  <si>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</si>
  <si>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</si>
  <si>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</si>
  <si>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</si>
  <si>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</si>
  <si>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</si>
  <si>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</si>
  <si>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</si>
  <si>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</si>
  <si>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</si>
  <si>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</si>
  <si>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</si>
  <si>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</si>
  <si>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</si>
  <si>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</si>
  <si>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</si>
  <si>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</si>
  <si>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</si>
  <si>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</si>
  <si>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</si>
  <si>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</si>
  <si>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</si>
  <si>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</si>
  <si>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</si>
  <si>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</si>
  <si>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</si>
  <si>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</si>
  <si>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</si>
  <si>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</si>
  <si>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</si>
  <si>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</si>
  <si>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</si>
  <si>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</si>
  <si>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</si>
  <si>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</si>
  <si>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</si>
  <si>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</si>
  <si>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</si>
  <si>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</si>
  <si>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</si>
  <si>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</si>
  <si>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</si>
  <si>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</si>
  <si>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</si>
  <si>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</si>
  <si>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</si>
  <si>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</si>
  <si>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</si>
  <si>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</si>
  <si>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</si>
  <si>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</si>
  <si>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</si>
  <si>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</si>
  <si>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</si>
  <si>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</si>
  <si>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</si>
  <si>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</si>
  <si>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</si>
  <si>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</si>
  <si>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</si>
  <si>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</si>
  <si>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</si>
  <si>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</si>
  <si>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</si>
  <si>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</si>
  <si>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</si>
  <si>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</si>
  <si>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</si>
  <si>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</si>
  <si>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</si>
  <si>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</si>
  <si>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</si>
  <si>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</si>
  <si>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</si>
  <si>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</si>
  <si>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</si>
  <si>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</si>
  <si>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</si>
  <si>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</si>
  <si>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</si>
  <si>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</si>
  <si>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</si>
  <si>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</si>
  <si>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</si>
  <si>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</si>
  <si>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</si>
  <si>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</si>
  <si>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</si>
  <si>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</si>
  <si>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</si>
  <si>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</si>
  <si>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</si>
  <si>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</si>
  <si>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</si>
  <si>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</si>
  <si>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</si>
  <si>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</si>
  <si>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</si>
  <si>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</si>
  <si>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</si>
  <si>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</si>
  <si>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</si>
  <si>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</si>
  <si>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</si>
  <si>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</si>
  <si>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</si>
  <si>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</si>
  <si>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</si>
  <si>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</si>
  <si>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</si>
  <si>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</si>
  <si>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</si>
  <si>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</si>
  <si>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</si>
  <si>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</si>
  <si>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</si>
  <si>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</si>
  <si>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</si>
  <si>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</si>
  <si>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</si>
  <si>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</si>
  <si>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</si>
  <si>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</si>
  <si>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</si>
  <si>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</si>
  <si>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</si>
  <si>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</si>
  <si>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</si>
  <si>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</si>
  <si>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</si>
  <si>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</si>
  <si>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</si>
  <si>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</si>
  <si>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</si>
  <si>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</si>
  <si>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</si>
  <si>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</si>
  <si>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</si>
  <si>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</si>
  <si>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</si>
  <si>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</si>
  <si>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</si>
  <si>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</si>
  <si>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</si>
  <si>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</si>
  <si>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</si>
  <si>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</si>
  <si>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</si>
  <si>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</si>
  <si>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</si>
  <si>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</si>
  <si>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</si>
  <si>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</si>
  <si>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</si>
  <si>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</si>
  <si>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</si>
  <si>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</si>
  <si>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</si>
  <si>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</si>
  <si>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</si>
  <si>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</si>
  <si>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</si>
  <si>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</si>
  <si>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</si>
  <si>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</si>
  <si>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</si>
  <si>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</si>
  <si>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</si>
  <si>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</si>
  <si>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</si>
  <si>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</si>
  <si>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</si>
  <si>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</si>
  <si>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</si>
  <si>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</si>
  <si>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</si>
  <si>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</si>
  <si>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</si>
  <si>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</si>
  <si>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</si>
  <si>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</si>
  <si>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</si>
  <si>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</si>
  <si>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</si>
  <si>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</si>
  <si>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</si>
  <si>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</si>
  <si>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</si>
  <si>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</si>
  <si>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</si>
  <si>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</si>
  <si>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</si>
  <si>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</si>
  <si>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</si>
  <si>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</si>
  <si>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</si>
  <si>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</si>
  <si>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</si>
  <si>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</si>
  <si>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</si>
  <si>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</si>
  <si>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</si>
  <si>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</si>
  <si>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</si>
  <si>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</si>
  <si>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</si>
  <si>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</si>
  <si>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</si>
  <si>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</si>
  <si>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</si>
  <si>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</si>
  <si>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</si>
  <si>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</si>
  <si>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</si>
  <si>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</si>
  <si>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</si>
  <si>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</si>
  <si>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</si>
  <si>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</si>
  <si>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</si>
  <si>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</si>
  <si>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</si>
  <si>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</si>
  <si>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</si>
  <si>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</si>
  <si>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</si>
  <si>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</si>
  <si>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</si>
  <si>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</si>
  <si>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</si>
  <si>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</si>
  <si>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</si>
  <si>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</si>
  <si>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</si>
  <si>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</si>
  <si>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</si>
  <si>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</si>
  <si>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</si>
  <si>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</si>
  <si>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</si>
  <si>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</si>
  <si>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</si>
  <si>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</si>
  <si>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</si>
  <si>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</si>
  <si>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</si>
  <si>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</si>
  <si>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</si>
  <si>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</si>
  <si>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</si>
  <si>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</si>
  <si>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</si>
  <si>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</si>
  <si>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</si>
  <si>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</si>
  <si>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</si>
  <si>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</si>
  <si>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</si>
  <si>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</si>
  <si>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</si>
  <si>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</si>
  <si>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</si>
  <si>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</si>
  <si>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</si>
  <si>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</si>
  <si>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</si>
  <si>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</si>
  <si>
    <t>const</t>
  </si>
  <si>
    <t>L1.cases</t>
  </si>
  <si>
    <t>L2.cases</t>
  </si>
  <si>
    <t>L3.cases</t>
  </si>
  <si>
    <t>None</t>
  </si>
  <si>
    <t>L4.cases</t>
  </si>
  <si>
    <t>L4.no2</t>
  </si>
  <si>
    <t>L5.cases</t>
  </si>
  <si>
    <t>VAR cases log</t>
  </si>
  <si>
    <t>L1.o3</t>
  </si>
  <si>
    <t>L2.Mean_distance_avg_14day_movavg</t>
  </si>
  <si>
    <t>L3.no2</t>
  </si>
  <si>
    <t>L4.o3</t>
  </si>
  <si>
    <t>L5.o3</t>
  </si>
  <si>
    <t>L3.o3</t>
  </si>
  <si>
    <t>L4.Mean_distance_avg_14day_movavg</t>
  </si>
  <si>
    <t>L5.Mean_distance_avg_14day_movavg</t>
  </si>
  <si>
    <t>L1.pm25</t>
  </si>
  <si>
    <t>L4.pm25</t>
  </si>
  <si>
    <t>L5.pm25</t>
  </si>
  <si>
    <t>VAR</t>
  </si>
  <si>
    <t>https://meteostat.net/en/place/co/medellin?s=80110&amp;t=2021-10-31/2024-11-16</t>
  </si>
  <si>
    <t>meteo 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</si>
</sst>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20" Type="http://schemas.openxmlformats.org/officeDocument/2006/relationships/hyperlink" Target="https://meteostat.net/en/place/co/medellin?s=80110&amp;t=2021-10-31/2024-11-16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213</v>
      </c>
      <c r="D25" s="6" t="s">
        <v>212</v>
      </c>
      <c r="E25" s="7" t="s">
        <v>211</v>
      </c>
    </row>
    <row r="26" spans="2:17" x14ac:dyDescent="0.3">
      <c r="B26" s="29">
        <v>23</v>
      </c>
      <c r="C26" s="1" t="s">
        <v>227</v>
      </c>
      <c r="D26" s="1" t="s">
        <v>228</v>
      </c>
      <c r="E26" s="4" t="s">
        <v>226</v>
      </c>
      <c r="F26" s="1" t="s">
        <v>229</v>
      </c>
    </row>
    <row r="27" spans="2:17" x14ac:dyDescent="0.3">
      <c r="B27" s="1">
        <v>24</v>
      </c>
      <c r="C27" s="1" t="s">
        <v>282</v>
      </c>
      <c r="D27" s="1" t="s">
        <v>283</v>
      </c>
      <c r="E27" s="4" t="s">
        <v>281</v>
      </c>
      <c r="F27" s="1" t="s">
        <v>284</v>
      </c>
      <c r="G27" s="1" t="s">
        <v>285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4"/>
  <sheetViews>
    <sheetView tabSelected="1" workbookViewId="0">
      <selection activeCell="B24" sqref="B24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269</v>
      </c>
      <c r="C19" s="1" t="s">
        <v>270</v>
      </c>
    </row>
    <row r="20" spans="2:3" x14ac:dyDescent="0.3">
      <c r="B20" s="4" t="s">
        <v>272</v>
      </c>
      <c r="C20" s="1" t="s">
        <v>273</v>
      </c>
    </row>
    <row r="21" spans="2:3" x14ac:dyDescent="0.3">
      <c r="B21" s="4" t="s">
        <v>274</v>
      </c>
      <c r="C21" s="1" t="s">
        <v>275</v>
      </c>
    </row>
    <row r="22" spans="2:3" x14ac:dyDescent="0.3">
      <c r="B22" s="4" t="s">
        <v>276</v>
      </c>
      <c r="C22" s="1" t="s">
        <v>277</v>
      </c>
    </row>
    <row r="23" spans="2:3" x14ac:dyDescent="0.3">
      <c r="B23" s="4" t="s">
        <v>278</v>
      </c>
    </row>
    <row r="24" spans="2:3" x14ac:dyDescent="0.3">
      <c r="B24" s="4" t="s">
        <v>323</v>
      </c>
      <c r="C24" s="1" t="s">
        <v>324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  <hyperlink ref="B24" r:id="rId20" xr:uid="{072E2C55-83F5-4678-A782-C260562B8B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workbookViewId="0">
      <selection activeCell="D1" sqref="D1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230</v>
      </c>
      <c r="N4" s="2" t="s">
        <v>245</v>
      </c>
      <c r="Q4" s="2" t="s">
        <v>246</v>
      </c>
      <c r="R4" s="2" t="s">
        <v>248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247</v>
      </c>
      <c r="R5" s="1" t="s">
        <v>249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231</v>
      </c>
      <c r="Q6" s="1" t="s">
        <v>250</v>
      </c>
      <c r="R6" s="1" t="s">
        <v>249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232</v>
      </c>
      <c r="Q7" s="1" t="s">
        <v>251</v>
      </c>
      <c r="R7" s="1" t="s">
        <v>252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184</v>
      </c>
      <c r="G8" s="12"/>
      <c r="M8" s="1" t="s">
        <v>233</v>
      </c>
      <c r="N8" s="1" t="s">
        <v>236</v>
      </c>
      <c r="Q8" s="1" t="s">
        <v>253</v>
      </c>
      <c r="R8" s="1" t="s">
        <v>249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184</v>
      </c>
      <c r="M9" s="1" t="s">
        <v>234</v>
      </c>
      <c r="N9" s="1" t="s">
        <v>235</v>
      </c>
      <c r="Q9" s="1" t="s">
        <v>254</v>
      </c>
      <c r="R9" s="1" t="s">
        <v>249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237</v>
      </c>
      <c r="Q10" s="1" t="s">
        <v>255</v>
      </c>
      <c r="R10" s="1" t="s">
        <v>280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238</v>
      </c>
      <c r="Q11" s="1" t="s">
        <v>256</v>
      </c>
      <c r="R11" s="1" t="s">
        <v>252</v>
      </c>
    </row>
    <row r="12" spans="2:18" x14ac:dyDescent="0.3">
      <c r="B12" s="1" t="s">
        <v>150</v>
      </c>
      <c r="C12" s="1" t="s">
        <v>242</v>
      </c>
      <c r="D12" s="1" t="s">
        <v>137</v>
      </c>
      <c r="M12" s="1" t="s">
        <v>239</v>
      </c>
      <c r="Q12" s="1" t="s">
        <v>257</v>
      </c>
      <c r="R12" s="1" t="s">
        <v>252</v>
      </c>
    </row>
    <row r="13" spans="2:18" x14ac:dyDescent="0.3">
      <c r="B13" s="1" t="s">
        <v>150</v>
      </c>
      <c r="C13" s="1" t="s">
        <v>271</v>
      </c>
      <c r="D13" s="1" t="s">
        <v>137</v>
      </c>
      <c r="M13" s="1" t="s">
        <v>240</v>
      </c>
      <c r="Q13" s="1" t="s">
        <v>258</v>
      </c>
      <c r="R13" s="1" t="s">
        <v>252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241</v>
      </c>
      <c r="Q14" s="1" t="s">
        <v>259</v>
      </c>
      <c r="R14" s="1" t="s">
        <v>252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242</v>
      </c>
      <c r="Q15" s="1" t="s">
        <v>260</v>
      </c>
      <c r="R15" s="1" t="s">
        <v>249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243</v>
      </c>
      <c r="Q16" s="1" t="s">
        <v>261</v>
      </c>
      <c r="R16" s="1" t="s">
        <v>249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244</v>
      </c>
      <c r="Q17" s="1" t="s">
        <v>262</v>
      </c>
      <c r="R17" s="1" t="s">
        <v>249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263</v>
      </c>
      <c r="R18" s="1" t="s">
        <v>249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264</v>
      </c>
      <c r="R19" s="1" t="s">
        <v>252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0" t="s">
        <v>265</v>
      </c>
      <c r="R20" s="1" t="s">
        <v>249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266</v>
      </c>
      <c r="R21" s="1" t="s">
        <v>252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267</v>
      </c>
      <c r="R22" s="1" t="s">
        <v>252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268</v>
      </c>
      <c r="R23" s="1" t="s">
        <v>249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242</v>
      </c>
      <c r="D25" s="1" t="s">
        <v>137</v>
      </c>
    </row>
    <row r="26" spans="2:18" x14ac:dyDescent="0.3">
      <c r="B26" s="1" t="s">
        <v>151</v>
      </c>
      <c r="C26" s="1" t="s">
        <v>271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242</v>
      </c>
      <c r="D38" s="1" t="s">
        <v>137</v>
      </c>
    </row>
    <row r="39" spans="2:4" x14ac:dyDescent="0.3">
      <c r="B39" s="1" t="s">
        <v>152</v>
      </c>
      <c r="C39" s="1" t="s">
        <v>271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242</v>
      </c>
      <c r="D51" s="1" t="s">
        <v>149</v>
      </c>
    </row>
    <row r="52" spans="2:4" x14ac:dyDescent="0.3">
      <c r="B52" s="1" t="s">
        <v>153</v>
      </c>
      <c r="C52" s="1" t="s">
        <v>271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290</v>
      </c>
      <c r="AC1" s="20" t="s">
        <v>286</v>
      </c>
      <c r="AO1" s="10" t="s">
        <v>289</v>
      </c>
    </row>
    <row r="2" spans="2:73" x14ac:dyDescent="0.3">
      <c r="B2" s="19" t="s">
        <v>185</v>
      </c>
      <c r="I2" s="19" t="s">
        <v>188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191</v>
      </c>
      <c r="AE2" s="19"/>
      <c r="AF2" s="19"/>
      <c r="AO2" s="19" t="s">
        <v>198</v>
      </c>
      <c r="AT2" s="19" t="s">
        <v>199</v>
      </c>
      <c r="AX2" s="19" t="s">
        <v>138</v>
      </c>
      <c r="BB2" s="19" t="s">
        <v>139</v>
      </c>
      <c r="BF2" s="19" t="s">
        <v>242</v>
      </c>
      <c r="BJ2" s="19" t="s">
        <v>271</v>
      </c>
      <c r="BN2" s="19" t="s">
        <v>191</v>
      </c>
    </row>
    <row r="4" spans="2:73" x14ac:dyDescent="0.3">
      <c r="B4" s="13" t="s">
        <v>180</v>
      </c>
      <c r="I4" s="13" t="s">
        <v>180</v>
      </c>
      <c r="N4" s="13" t="s">
        <v>180</v>
      </c>
      <c r="R4" s="13" t="s">
        <v>180</v>
      </c>
      <c r="V4" s="13" t="s">
        <v>180</v>
      </c>
      <c r="Z4" s="13" t="s">
        <v>180</v>
      </c>
      <c r="AD4" s="13" t="s">
        <v>180</v>
      </c>
      <c r="AE4" s="13"/>
      <c r="AF4" s="13"/>
      <c r="AO4" s="13" t="s">
        <v>197</v>
      </c>
      <c r="AT4" s="13" t="s">
        <v>197</v>
      </c>
      <c r="AX4" s="13" t="s">
        <v>197</v>
      </c>
      <c r="BB4" s="13" t="s">
        <v>197</v>
      </c>
      <c r="BF4" s="13" t="s">
        <v>197</v>
      </c>
      <c r="BJ4" s="13" t="s">
        <v>197</v>
      </c>
      <c r="BN4" s="13" t="s">
        <v>197</v>
      </c>
    </row>
    <row r="6" spans="2:73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138</v>
      </c>
      <c r="AF6" s="9" t="s">
        <v>139</v>
      </c>
      <c r="AG6" s="9" t="s">
        <v>192</v>
      </c>
      <c r="AH6" s="9" t="s">
        <v>33</v>
      </c>
      <c r="AI6" s="9" t="s">
        <v>242</v>
      </c>
      <c r="AJ6" s="9" t="s">
        <v>193</v>
      </c>
      <c r="AK6" s="9" t="s">
        <v>271</v>
      </c>
      <c r="AO6" s="9" t="s">
        <v>194</v>
      </c>
      <c r="AP6" s="9" t="s">
        <v>134</v>
      </c>
      <c r="AQ6" s="9" t="s">
        <v>186</v>
      </c>
      <c r="AR6" s="9" t="s">
        <v>187</v>
      </c>
      <c r="AT6" s="9" t="s">
        <v>194</v>
      </c>
      <c r="AU6" s="9" t="s">
        <v>186</v>
      </c>
      <c r="AV6" s="9" t="s">
        <v>187</v>
      </c>
      <c r="AX6" s="9" t="s">
        <v>194</v>
      </c>
      <c r="AY6" s="9" t="s">
        <v>186</v>
      </c>
      <c r="AZ6" s="9" t="s">
        <v>187</v>
      </c>
      <c r="BB6" s="9" t="s">
        <v>194</v>
      </c>
      <c r="BC6" s="9" t="s">
        <v>186</v>
      </c>
      <c r="BD6" s="9" t="s">
        <v>187</v>
      </c>
      <c r="BF6" s="9" t="s">
        <v>194</v>
      </c>
      <c r="BG6" s="9" t="s">
        <v>186</v>
      </c>
      <c r="BH6" s="9" t="s">
        <v>187</v>
      </c>
      <c r="BJ6" s="9" t="s">
        <v>194</v>
      </c>
      <c r="BK6" s="9" t="s">
        <v>186</v>
      </c>
      <c r="BL6" s="9" t="s">
        <v>187</v>
      </c>
      <c r="BN6" s="9" t="s">
        <v>194</v>
      </c>
      <c r="BO6" s="9" t="s">
        <v>138</v>
      </c>
      <c r="BP6" s="9" t="s">
        <v>139</v>
      </c>
      <c r="BQ6" s="9" t="s">
        <v>192</v>
      </c>
      <c r="BR6" s="9" t="s">
        <v>33</v>
      </c>
      <c r="BS6" s="9" t="s">
        <v>242</v>
      </c>
      <c r="BT6" s="9" t="s">
        <v>201</v>
      </c>
      <c r="BU6" s="9" t="s">
        <v>271</v>
      </c>
    </row>
    <row r="7" spans="2:73" x14ac:dyDescent="0.3">
      <c r="B7" s="1" t="s">
        <v>170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170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170</v>
      </c>
      <c r="O7" s="12">
        <v>-0.39370899999999998</v>
      </c>
      <c r="P7" s="14">
        <v>15217290</v>
      </c>
      <c r="R7" s="1" t="s">
        <v>170</v>
      </c>
      <c r="S7" s="12">
        <v>-9.8227999999999996E-2</v>
      </c>
      <c r="T7" s="14">
        <v>13264390</v>
      </c>
      <c r="V7" s="1" t="s">
        <v>170</v>
      </c>
      <c r="W7" s="31">
        <v>0.99999800000000005</v>
      </c>
      <c r="X7" s="14">
        <v>15940.183487</v>
      </c>
      <c r="Z7" s="1" t="s">
        <v>170</v>
      </c>
      <c r="AA7" s="31">
        <v>0.99995000000000001</v>
      </c>
      <c r="AB7" s="14">
        <v>91507.114184000005</v>
      </c>
      <c r="AD7" s="1" t="s">
        <v>170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195</v>
      </c>
      <c r="AP7" s="1" t="s">
        <v>192</v>
      </c>
      <c r="AQ7" s="12">
        <v>-0.25174930000000001</v>
      </c>
      <c r="AR7" s="14">
        <v>210875.2597</v>
      </c>
      <c r="AT7" s="1" t="s">
        <v>195</v>
      </c>
      <c r="AU7" s="23">
        <v>0.99999979999999999</v>
      </c>
      <c r="AV7" s="25">
        <v>91.979789999999994</v>
      </c>
      <c r="AX7" s="1" t="s">
        <v>196</v>
      </c>
      <c r="AY7" s="12">
        <v>0.94224399999999997</v>
      </c>
      <c r="AZ7" s="14">
        <v>4703.6260300000004</v>
      </c>
      <c r="BB7" s="1" t="s">
        <v>196</v>
      </c>
      <c r="BC7" s="12">
        <v>0.91772100000000001</v>
      </c>
      <c r="BD7" s="14">
        <v>5614.0714690000004</v>
      </c>
      <c r="BF7" s="1" t="s">
        <v>196</v>
      </c>
      <c r="BG7" s="12">
        <v>0.99995330000000004</v>
      </c>
      <c r="BH7" s="14">
        <v>133.75837000000001</v>
      </c>
      <c r="BJ7" s="1" t="s">
        <v>196</v>
      </c>
      <c r="BK7" s="12">
        <v>0.98349299999999995</v>
      </c>
      <c r="BL7" s="14">
        <v>2514.5705710000002</v>
      </c>
      <c r="BN7" s="1" t="s">
        <v>195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171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171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171</v>
      </c>
      <c r="O8" s="18">
        <v>0.44333400000000001</v>
      </c>
      <c r="P8" s="17">
        <v>1304208</v>
      </c>
      <c r="R8" s="6" t="s">
        <v>171</v>
      </c>
      <c r="S8" s="18">
        <v>0.91093299999999999</v>
      </c>
      <c r="T8" s="17">
        <v>518469</v>
      </c>
      <c r="V8" s="6" t="s">
        <v>171</v>
      </c>
      <c r="W8" s="32">
        <v>0.99999899999999997</v>
      </c>
      <c r="X8" s="17">
        <v>1580.191648</v>
      </c>
      <c r="Z8" s="6" t="s">
        <v>171</v>
      </c>
      <c r="AA8" s="32">
        <v>0.999973</v>
      </c>
      <c r="AB8" s="17">
        <v>9120.9211990000003</v>
      </c>
      <c r="AD8" s="6" t="s">
        <v>171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195</v>
      </c>
      <c r="AP8" s="6" t="s">
        <v>33</v>
      </c>
      <c r="AQ8" s="18">
        <v>0.99300429999999995</v>
      </c>
      <c r="AR8" s="17">
        <v>15764.5885</v>
      </c>
      <c r="AT8" s="6" t="s">
        <v>196</v>
      </c>
      <c r="AU8" s="24">
        <v>0.99997420000000004</v>
      </c>
      <c r="AV8" s="26">
        <v>99.435940000000002</v>
      </c>
      <c r="AX8" s="6" t="s">
        <v>195</v>
      </c>
      <c r="AY8" s="18">
        <v>0.98572300000000002</v>
      </c>
      <c r="AZ8" s="17">
        <v>22520.654823000001</v>
      </c>
      <c r="BB8" s="6" t="s">
        <v>195</v>
      </c>
      <c r="BC8" s="18">
        <v>0.99224599999999996</v>
      </c>
      <c r="BD8" s="17">
        <v>16596.507481000001</v>
      </c>
      <c r="BF8" s="6" t="s">
        <v>195</v>
      </c>
      <c r="BG8" s="18">
        <v>0.99999979999999999</v>
      </c>
      <c r="BH8" s="17">
        <v>89.78492</v>
      </c>
      <c r="BJ8" s="6" t="s">
        <v>195</v>
      </c>
      <c r="BK8" s="18">
        <v>0.99868800000000002</v>
      </c>
      <c r="BL8" s="17">
        <v>6828.2612090000002</v>
      </c>
      <c r="BN8" s="6" t="s">
        <v>196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172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172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172</v>
      </c>
      <c r="O9" s="12">
        <v>-0.84969700000000004</v>
      </c>
      <c r="P9" s="14">
        <v>3356209</v>
      </c>
      <c r="R9" s="1" t="s">
        <v>172</v>
      </c>
      <c r="S9" s="12">
        <v>-0.18831400000000001</v>
      </c>
      <c r="T9" s="14">
        <v>2617900</v>
      </c>
      <c r="V9" s="1" t="s">
        <v>172</v>
      </c>
      <c r="W9" s="31">
        <v>0.99999899999999997</v>
      </c>
      <c r="X9" s="14">
        <v>2142.2691100000002</v>
      </c>
      <c r="Z9" s="1" t="s">
        <v>172</v>
      </c>
      <c r="AA9" s="31">
        <v>0.99992800000000004</v>
      </c>
      <c r="AB9" s="14">
        <v>20962.221375000001</v>
      </c>
      <c r="AD9" s="1" t="s">
        <v>172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196</v>
      </c>
      <c r="AP9" s="1" t="s">
        <v>192</v>
      </c>
      <c r="AQ9" s="12">
        <v>0.99683809999999995</v>
      </c>
      <c r="AR9" s="14">
        <v>1100.5509999999999</v>
      </c>
      <c r="AT9" s="1" t="s">
        <v>293</v>
      </c>
      <c r="AU9" s="23">
        <v>0.9999806</v>
      </c>
      <c r="AV9" s="25">
        <v>88.003110000000007</v>
      </c>
      <c r="AX9" s="1" t="s">
        <v>200</v>
      </c>
      <c r="AY9" s="12">
        <v>0.98843700000000001</v>
      </c>
      <c r="AZ9" s="14">
        <v>2148.462321</v>
      </c>
      <c r="BB9" s="1" t="s">
        <v>200</v>
      </c>
      <c r="BC9" s="12">
        <v>0.97706400000000004</v>
      </c>
      <c r="BD9" s="14">
        <v>3025.804118</v>
      </c>
      <c r="BF9" s="1" t="s">
        <v>200</v>
      </c>
      <c r="BG9" s="12">
        <v>0.999977</v>
      </c>
      <c r="BH9" s="14">
        <v>95.776430000000005</v>
      </c>
      <c r="BJ9" s="1" t="s">
        <v>200</v>
      </c>
      <c r="BK9" s="12">
        <v>0.99990800000000002</v>
      </c>
      <c r="BL9" s="14">
        <v>192.12411499999999</v>
      </c>
      <c r="BN9" s="1" t="s">
        <v>200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190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190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190</v>
      </c>
      <c r="O10" s="18">
        <v>-0.70091599999999998</v>
      </c>
      <c r="P10" s="17">
        <v>305803.09999999998</v>
      </c>
      <c r="R10" s="6" t="s">
        <v>190</v>
      </c>
      <c r="S10" s="18">
        <v>3.9317999999999999E-2</v>
      </c>
      <c r="T10" s="17">
        <v>224458</v>
      </c>
      <c r="V10" s="6" t="s">
        <v>190</v>
      </c>
      <c r="W10" s="32">
        <v>0.99999700000000002</v>
      </c>
      <c r="X10" s="17">
        <v>433.14919800000001</v>
      </c>
      <c r="Z10" s="6" t="s">
        <v>190</v>
      </c>
      <c r="AA10" s="32">
        <v>0.99969300000000005</v>
      </c>
      <c r="AB10" s="17">
        <v>4105.2196100000001</v>
      </c>
      <c r="AD10" s="6" t="s">
        <v>190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196</v>
      </c>
      <c r="AP10" s="6" t="s">
        <v>33</v>
      </c>
      <c r="AQ10" s="18">
        <v>0.9985077</v>
      </c>
      <c r="AR10" s="17">
        <v>756.05920000000003</v>
      </c>
      <c r="AT10" s="6" t="s">
        <v>287</v>
      </c>
      <c r="AU10" s="24">
        <v>0.99999979999999999</v>
      </c>
      <c r="AV10" s="26">
        <v>163.67088000000001</v>
      </c>
      <c r="AX10" s="6" t="s">
        <v>287</v>
      </c>
      <c r="AY10" s="18">
        <v>0.98303399999999996</v>
      </c>
      <c r="AZ10" s="17">
        <v>53755.513460000002</v>
      </c>
      <c r="BB10" s="6" t="s">
        <v>287</v>
      </c>
      <c r="BC10" s="18">
        <v>0.99701899999999999</v>
      </c>
      <c r="BD10" s="17">
        <v>22532.557326999999</v>
      </c>
      <c r="BF10" s="6" t="s">
        <v>287</v>
      </c>
      <c r="BG10" s="18">
        <v>0.99999990000000005</v>
      </c>
      <c r="BH10" s="17">
        <v>157.38897</v>
      </c>
      <c r="BJ10" s="6" t="s">
        <v>287</v>
      </c>
      <c r="BK10" s="18">
        <v>0.99997000000000003</v>
      </c>
      <c r="BL10" s="17">
        <v>2248.9489680000001</v>
      </c>
      <c r="BN10" s="6" t="s">
        <v>287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174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174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174</v>
      </c>
      <c r="O11" s="12">
        <v>0.97311099999999995</v>
      </c>
      <c r="P11" s="14">
        <v>2287439</v>
      </c>
      <c r="R11" s="1" t="s">
        <v>174</v>
      </c>
      <c r="S11" s="12">
        <v>0.98591399999999996</v>
      </c>
      <c r="T11" s="14">
        <v>1656545</v>
      </c>
      <c r="V11" s="1" t="s">
        <v>174</v>
      </c>
      <c r="W11" s="31">
        <v>0.99999499999999997</v>
      </c>
      <c r="X11" s="14">
        <v>30356.430119000001</v>
      </c>
      <c r="Z11" s="1" t="s">
        <v>174</v>
      </c>
      <c r="AA11" s="31">
        <v>0.99996600000000002</v>
      </c>
      <c r="AB11" s="14">
        <v>81396.828680000006</v>
      </c>
      <c r="AD11" s="1" t="s">
        <v>174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200</v>
      </c>
      <c r="AP11" s="1" t="s">
        <v>192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175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175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175</v>
      </c>
      <c r="O12" s="18">
        <v>0.90446300000000002</v>
      </c>
      <c r="P12" s="17">
        <v>2800556</v>
      </c>
      <c r="R12" s="6" t="s">
        <v>175</v>
      </c>
      <c r="S12" s="18">
        <v>0.96489400000000003</v>
      </c>
      <c r="T12" s="17">
        <v>1697944</v>
      </c>
      <c r="V12" s="6" t="s">
        <v>175</v>
      </c>
      <c r="W12" s="32">
        <v>0.99999700000000002</v>
      </c>
      <c r="X12" s="17">
        <v>16474.693931999998</v>
      </c>
      <c r="Z12" s="6" t="s">
        <v>175</v>
      </c>
      <c r="AA12" s="32">
        <v>0.99982899999999997</v>
      </c>
      <c r="AB12" s="17">
        <v>118520.743653</v>
      </c>
      <c r="AD12" s="6" t="s">
        <v>175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200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202</v>
      </c>
    </row>
    <row r="13" spans="2:73" x14ac:dyDescent="0.3">
      <c r="B13" s="1" t="s">
        <v>176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176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176</v>
      </c>
      <c r="O13" s="12">
        <v>-327.19220100000001</v>
      </c>
      <c r="P13" s="14">
        <v>46909600</v>
      </c>
      <c r="R13" s="1" t="s">
        <v>176</v>
      </c>
      <c r="S13" s="12">
        <v>-4.0384000000000003E-2</v>
      </c>
      <c r="T13" s="14">
        <v>2603995</v>
      </c>
      <c r="V13" s="1" t="s">
        <v>176</v>
      </c>
      <c r="W13" s="31">
        <v>0.99999099999999996</v>
      </c>
      <c r="X13" s="14">
        <v>7591.1932999999999</v>
      </c>
      <c r="Z13" s="1" t="s">
        <v>176</v>
      </c>
      <c r="AA13" s="31">
        <v>0.99989799999999995</v>
      </c>
      <c r="AB13" s="14">
        <v>26091.076145999999</v>
      </c>
      <c r="AD13" s="1" t="s">
        <v>176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287</v>
      </c>
      <c r="AP13" s="1" t="s">
        <v>192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177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177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177</v>
      </c>
      <c r="O14" s="18">
        <v>2.6889E-2</v>
      </c>
      <c r="P14" s="17">
        <v>353453</v>
      </c>
      <c r="R14" s="6" t="s">
        <v>177</v>
      </c>
      <c r="S14" s="18">
        <v>0.87112000000000001</v>
      </c>
      <c r="T14" s="17">
        <v>125949</v>
      </c>
      <c r="V14" s="6" t="s">
        <v>177</v>
      </c>
      <c r="W14" s="32">
        <v>0.99999000000000005</v>
      </c>
      <c r="X14" s="17">
        <v>1140.2147070000001</v>
      </c>
      <c r="Z14" s="6" t="s">
        <v>177</v>
      </c>
      <c r="AA14" s="32">
        <v>0.99961699999999998</v>
      </c>
      <c r="AB14" s="17">
        <v>7011.0990389999997</v>
      </c>
      <c r="AD14" s="6" t="s">
        <v>177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287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197</v>
      </c>
    </row>
    <row r="15" spans="2:73" x14ac:dyDescent="0.3">
      <c r="B15" s="1" t="s">
        <v>178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179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179</v>
      </c>
      <c r="O15" s="12">
        <v>0.29647899999999999</v>
      </c>
      <c r="P15" s="14">
        <v>30580360</v>
      </c>
      <c r="R15" s="1" t="s">
        <v>179</v>
      </c>
      <c r="S15" s="12">
        <v>0.833893</v>
      </c>
      <c r="T15" s="14">
        <v>14859300</v>
      </c>
      <c r="V15" s="1" t="s">
        <v>179</v>
      </c>
      <c r="W15" s="31">
        <v>0.99999800000000005</v>
      </c>
      <c r="X15" s="14">
        <v>47866.562242</v>
      </c>
      <c r="Z15" s="1" t="s">
        <v>179</v>
      </c>
      <c r="AA15" s="31">
        <v>0.99987199999999998</v>
      </c>
      <c r="AB15" s="14">
        <v>412581.51297400001</v>
      </c>
      <c r="AD15" s="1" t="s">
        <v>179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179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178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178</v>
      </c>
      <c r="O16" s="18">
        <v>0.52243200000000001</v>
      </c>
      <c r="P16" s="17">
        <v>283382.09999999998</v>
      </c>
      <c r="R16" s="6" t="s">
        <v>178</v>
      </c>
      <c r="S16" s="18">
        <v>0.96743000000000001</v>
      </c>
      <c r="T16" s="17">
        <v>73683.27</v>
      </c>
      <c r="V16" s="6" t="s">
        <v>178</v>
      </c>
      <c r="W16" s="32">
        <v>0.999996</v>
      </c>
      <c r="X16" s="17">
        <v>829.90016600000001</v>
      </c>
      <c r="Z16" s="6" t="s">
        <v>178</v>
      </c>
      <c r="AA16" s="32">
        <v>0.99970099999999995</v>
      </c>
      <c r="AB16" s="17">
        <v>7087.1279500000001</v>
      </c>
      <c r="AD16" s="6" t="s">
        <v>178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194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195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196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182</v>
      </c>
      <c r="I19" s="13" t="s">
        <v>182</v>
      </c>
      <c r="N19" s="13" t="s">
        <v>182</v>
      </c>
      <c r="R19" s="13" t="s">
        <v>182</v>
      </c>
      <c r="T19" s="21"/>
      <c r="V19" s="13" t="s">
        <v>182</v>
      </c>
      <c r="Z19" s="13" t="s">
        <v>182</v>
      </c>
      <c r="AD19" s="13" t="s">
        <v>182</v>
      </c>
      <c r="AE19" s="13"/>
      <c r="AF19" s="13"/>
      <c r="BJ19" s="14"/>
      <c r="BK19" s="14"/>
      <c r="BL19" s="14"/>
      <c r="BN19" s="1" t="s">
        <v>200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287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165</v>
      </c>
      <c r="C21" s="9" t="s">
        <v>166</v>
      </c>
      <c r="D21" s="9" t="s">
        <v>167</v>
      </c>
      <c r="E21" s="9" t="s">
        <v>168</v>
      </c>
      <c r="F21" s="9" t="s">
        <v>169</v>
      </c>
      <c r="G21" s="9" t="s">
        <v>181</v>
      </c>
      <c r="I21" s="9" t="s">
        <v>165</v>
      </c>
      <c r="J21" s="9" t="s">
        <v>186</v>
      </c>
      <c r="K21" s="9" t="s">
        <v>187</v>
      </c>
      <c r="L21" s="9" t="s">
        <v>189</v>
      </c>
      <c r="N21" s="9" t="s">
        <v>165</v>
      </c>
      <c r="O21" s="9" t="s">
        <v>186</v>
      </c>
      <c r="P21" s="9" t="s">
        <v>187</v>
      </c>
      <c r="R21" s="9" t="s">
        <v>165</v>
      </c>
      <c r="S21" s="9" t="s">
        <v>186</v>
      </c>
      <c r="T21" s="9" t="s">
        <v>187</v>
      </c>
      <c r="V21" s="9" t="s">
        <v>165</v>
      </c>
      <c r="W21" s="9" t="s">
        <v>186</v>
      </c>
      <c r="X21" s="9" t="s">
        <v>187</v>
      </c>
      <c r="Z21" s="9" t="s">
        <v>165</v>
      </c>
      <c r="AA21" s="9" t="s">
        <v>186</v>
      </c>
      <c r="AB21" s="9" t="s">
        <v>187</v>
      </c>
      <c r="AD21" s="9" t="s">
        <v>165</v>
      </c>
      <c r="AE21" s="9" t="s">
        <v>138</v>
      </c>
      <c r="AF21" s="9" t="s">
        <v>139</v>
      </c>
      <c r="AG21" s="9" t="s">
        <v>192</v>
      </c>
      <c r="AH21" s="9" t="s">
        <v>33</v>
      </c>
      <c r="AI21" s="9" t="s">
        <v>242</v>
      </c>
      <c r="AJ21" s="9" t="s">
        <v>193</v>
      </c>
      <c r="AK21" s="9" t="s">
        <v>271</v>
      </c>
      <c r="BJ21" s="14"/>
      <c r="BK21" s="14"/>
      <c r="BL21" s="14"/>
    </row>
    <row r="22" spans="2:73" x14ac:dyDescent="0.3">
      <c r="B22" s="1" t="s">
        <v>170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170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170</v>
      </c>
      <c r="O22" s="12">
        <v>0.82512600000000003</v>
      </c>
      <c r="P22" s="14">
        <v>5285818</v>
      </c>
      <c r="R22" s="1" t="s">
        <v>170</v>
      </c>
      <c r="S22" s="12">
        <v>0.64468300000000001</v>
      </c>
      <c r="T22" s="14">
        <v>7558374</v>
      </c>
      <c r="V22" s="1" t="s">
        <v>170</v>
      </c>
      <c r="W22" s="31">
        <v>0.99996799999999997</v>
      </c>
      <c r="X22" s="14">
        <v>72886.599426000001</v>
      </c>
      <c r="Z22" s="1" t="s">
        <v>170</v>
      </c>
      <c r="AA22" s="31">
        <v>0.998919</v>
      </c>
      <c r="AB22" s="14">
        <v>424624.7</v>
      </c>
      <c r="AD22" s="1" t="s">
        <v>170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171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171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171</v>
      </c>
      <c r="O23" s="18">
        <v>0.85929699999999998</v>
      </c>
      <c r="P23" s="17">
        <v>655919.19999999995</v>
      </c>
      <c r="R23" s="6" t="s">
        <v>171</v>
      </c>
      <c r="S23" s="18">
        <v>0.86842799999999998</v>
      </c>
      <c r="T23" s="17">
        <v>634278.5</v>
      </c>
      <c r="V23" s="6" t="s">
        <v>171</v>
      </c>
      <c r="W23" s="32">
        <v>0.999977</v>
      </c>
      <c r="X23" s="17">
        <v>8395.1301469999999</v>
      </c>
      <c r="Z23" s="6" t="s">
        <v>171</v>
      </c>
      <c r="AA23" s="32">
        <v>0.99666699999999997</v>
      </c>
      <c r="AB23" s="17">
        <v>101494.2</v>
      </c>
      <c r="AD23" s="6" t="s">
        <v>171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172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172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172</v>
      </c>
      <c r="O24" s="12">
        <v>0.91229700000000002</v>
      </c>
      <c r="P24" s="14">
        <v>711743.3</v>
      </c>
      <c r="R24" s="1" t="s">
        <v>172</v>
      </c>
      <c r="S24" s="12">
        <v>0.43064400000000003</v>
      </c>
      <c r="T24" s="14">
        <v>1813809</v>
      </c>
      <c r="V24" s="1" t="s">
        <v>172</v>
      </c>
      <c r="W24" s="31">
        <v>0.99997899999999995</v>
      </c>
      <c r="X24" s="14">
        <v>11331.678796</v>
      </c>
      <c r="Z24" s="1" t="s">
        <v>172</v>
      </c>
      <c r="AA24" s="31">
        <v>0.99987199999999998</v>
      </c>
      <c r="AB24" s="14">
        <v>27934.33</v>
      </c>
      <c r="AD24" s="1" t="s">
        <v>172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190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190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190</v>
      </c>
      <c r="O25" s="18">
        <v>0.81773499999999999</v>
      </c>
      <c r="P25" s="17">
        <v>96842.15</v>
      </c>
      <c r="R25" s="6" t="s">
        <v>190</v>
      </c>
      <c r="S25" s="18">
        <v>-0.70466200000000001</v>
      </c>
      <c r="T25" s="17">
        <v>300031.3</v>
      </c>
      <c r="V25" s="6" t="s">
        <v>190</v>
      </c>
      <c r="W25" s="32">
        <v>0.99985199999999996</v>
      </c>
      <c r="X25" s="17">
        <v>2856.3407999999999</v>
      </c>
      <c r="Z25" s="6" t="s">
        <v>190</v>
      </c>
      <c r="AA25" s="32">
        <v>0.99764399999999998</v>
      </c>
      <c r="AB25" s="17">
        <v>11391.69</v>
      </c>
      <c r="AD25" s="6" t="s">
        <v>190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174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174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174</v>
      </c>
      <c r="O26" s="12">
        <v>0.98488399999999998</v>
      </c>
      <c r="P26" s="14">
        <v>1726783</v>
      </c>
      <c r="R26" s="1" t="s">
        <v>174</v>
      </c>
      <c r="S26" s="12">
        <v>0.98622900000000002</v>
      </c>
      <c r="T26" s="14">
        <v>1646926</v>
      </c>
      <c r="V26" s="1" t="s">
        <v>174</v>
      </c>
      <c r="W26" s="31">
        <v>0.99998200000000004</v>
      </c>
      <c r="X26" s="14">
        <v>59096.011952000001</v>
      </c>
      <c r="Z26" s="1" t="s">
        <v>174</v>
      </c>
      <c r="AA26" s="31">
        <v>0.99986600000000003</v>
      </c>
      <c r="AB26" s="14">
        <v>162463.20000000001</v>
      </c>
      <c r="AD26" s="1" t="s">
        <v>174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175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175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175</v>
      </c>
      <c r="O27" s="18">
        <v>0.94516</v>
      </c>
      <c r="P27" s="17">
        <v>2120841</v>
      </c>
      <c r="R27" s="6" t="s">
        <v>175</v>
      </c>
      <c r="S27" s="18">
        <v>0.94915899999999997</v>
      </c>
      <c r="T27" s="17">
        <v>2056768</v>
      </c>
      <c r="V27" s="6" t="s">
        <v>175</v>
      </c>
      <c r="W27" s="32">
        <v>0.99997999999999998</v>
      </c>
      <c r="X27" s="17">
        <v>40276.492481000001</v>
      </c>
      <c r="Z27" s="6" t="s">
        <v>175</v>
      </c>
      <c r="AA27" s="32">
        <v>0.99753099999999995</v>
      </c>
      <c r="AB27" s="17">
        <v>453190.5</v>
      </c>
      <c r="AD27" s="6" t="s">
        <v>175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176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176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176</v>
      </c>
      <c r="O28" s="12">
        <v>0.84834900000000002</v>
      </c>
      <c r="P28" s="14">
        <v>999266.5</v>
      </c>
      <c r="R28" s="1" t="s">
        <v>176</v>
      </c>
      <c r="S28" s="12">
        <v>-0.34762500000000002</v>
      </c>
      <c r="T28" s="14">
        <v>2976087</v>
      </c>
      <c r="V28" s="1" t="s">
        <v>176</v>
      </c>
      <c r="W28" s="31">
        <v>0.99994000000000005</v>
      </c>
      <c r="X28" s="14">
        <v>20204.683582000001</v>
      </c>
      <c r="Z28" s="1" t="s">
        <v>176</v>
      </c>
      <c r="AA28" s="31">
        <v>0.99860599999999999</v>
      </c>
      <c r="AB28" s="14">
        <v>97029.98</v>
      </c>
      <c r="AD28" s="1" t="s">
        <v>176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177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177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177</v>
      </c>
      <c r="O29" s="18">
        <v>0.83975299999999997</v>
      </c>
      <c r="P29" s="17">
        <v>140633.70000000001</v>
      </c>
      <c r="R29" s="6" t="s">
        <v>177</v>
      </c>
      <c r="S29" s="18">
        <v>0.86644399999999999</v>
      </c>
      <c r="T29" s="17">
        <v>128388.6</v>
      </c>
      <c r="V29" s="6" t="s">
        <v>177</v>
      </c>
      <c r="W29" s="32">
        <v>0.99993799999999999</v>
      </c>
      <c r="X29" s="17">
        <v>2835.1556179999998</v>
      </c>
      <c r="Z29" s="6" t="s">
        <v>177</v>
      </c>
      <c r="AA29" s="32">
        <v>0.99784799999999996</v>
      </c>
      <c r="AB29" s="17">
        <v>16657.2</v>
      </c>
      <c r="AD29" s="6" t="s">
        <v>177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178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179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179</v>
      </c>
      <c r="O30" s="12">
        <v>0.83721299999999998</v>
      </c>
      <c r="P30" s="14">
        <v>14749160</v>
      </c>
      <c r="R30" s="1" t="s">
        <v>179</v>
      </c>
      <c r="S30" s="12">
        <v>0.84466699999999995</v>
      </c>
      <c r="T30" s="14">
        <v>14407510</v>
      </c>
      <c r="V30" s="1" t="s">
        <v>179</v>
      </c>
      <c r="W30" s="31">
        <v>0.999973</v>
      </c>
      <c r="X30" s="14">
        <v>189197.220477</v>
      </c>
      <c r="Z30" s="1" t="s">
        <v>179</v>
      </c>
      <c r="AA30" s="31">
        <v>0.99802000000000002</v>
      </c>
      <c r="AB30" s="14">
        <v>1626782</v>
      </c>
      <c r="AD30" s="1" t="s">
        <v>179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179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178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178</v>
      </c>
      <c r="O31" s="18">
        <v>0.94254700000000002</v>
      </c>
      <c r="P31" s="17">
        <v>97667.94</v>
      </c>
      <c r="R31" s="6" t="s">
        <v>178</v>
      </c>
      <c r="S31" s="18">
        <v>0.95194400000000001</v>
      </c>
      <c r="T31" s="17">
        <v>89659.199999999997</v>
      </c>
      <c r="V31" s="6" t="s">
        <v>178</v>
      </c>
      <c r="W31" s="32">
        <v>0.99996499999999999</v>
      </c>
      <c r="X31" s="17">
        <v>2423.543439</v>
      </c>
      <c r="Z31" s="6" t="s">
        <v>178</v>
      </c>
      <c r="AA31" s="32">
        <v>0.98897800000000002</v>
      </c>
      <c r="AB31" s="17">
        <v>43128.99</v>
      </c>
      <c r="AD31" s="6" t="s">
        <v>178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183</v>
      </c>
      <c r="I34" s="13" t="s">
        <v>183</v>
      </c>
      <c r="V34" s="13" t="s">
        <v>183</v>
      </c>
    </row>
    <row r="36" spans="2:24" x14ac:dyDescent="0.3">
      <c r="B36" s="9" t="s">
        <v>165</v>
      </c>
      <c r="C36" s="9" t="s">
        <v>166</v>
      </c>
      <c r="D36" s="9" t="s">
        <v>167</v>
      </c>
      <c r="E36" s="9" t="s">
        <v>168</v>
      </c>
      <c r="F36" s="9" t="s">
        <v>169</v>
      </c>
      <c r="G36" s="9" t="s">
        <v>181</v>
      </c>
      <c r="I36" s="9" t="s">
        <v>165</v>
      </c>
      <c r="J36" s="9" t="s">
        <v>186</v>
      </c>
      <c r="K36" s="9" t="s">
        <v>187</v>
      </c>
      <c r="L36" s="9" t="s">
        <v>189</v>
      </c>
      <c r="V36" s="9" t="s">
        <v>165</v>
      </c>
      <c r="W36" s="9" t="s">
        <v>186</v>
      </c>
      <c r="X36" s="9" t="s">
        <v>187</v>
      </c>
    </row>
    <row r="37" spans="2:24" x14ac:dyDescent="0.3">
      <c r="B37" s="1" t="s">
        <v>170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170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170</v>
      </c>
      <c r="W37" s="31">
        <v>0.99801799999999996</v>
      </c>
      <c r="X37" s="14">
        <v>584602.6</v>
      </c>
    </row>
    <row r="38" spans="2:24" x14ac:dyDescent="0.3">
      <c r="B38" s="6" t="s">
        <v>171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171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171</v>
      </c>
      <c r="W38" s="32">
        <v>0.99567000000000005</v>
      </c>
      <c r="X38" s="17">
        <v>118904.3</v>
      </c>
    </row>
    <row r="39" spans="2:24" x14ac:dyDescent="0.3">
      <c r="B39" s="1" t="s">
        <v>172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172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172</v>
      </c>
      <c r="W39" s="31">
        <v>0.99534699999999998</v>
      </c>
      <c r="X39" s="14">
        <v>169254.2</v>
      </c>
    </row>
    <row r="40" spans="2:24" x14ac:dyDescent="0.3">
      <c r="B40" s="6" t="s">
        <v>173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173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190</v>
      </c>
      <c r="W40" s="32">
        <v>0.99124800000000002</v>
      </c>
      <c r="X40" s="17">
        <v>22240.09</v>
      </c>
    </row>
    <row r="41" spans="2:24" x14ac:dyDescent="0.3">
      <c r="B41" s="1" t="s">
        <v>174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174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174</v>
      </c>
      <c r="W41" s="31">
        <v>0.99727699999999997</v>
      </c>
      <c r="X41" s="14">
        <v>755112.7</v>
      </c>
    </row>
    <row r="42" spans="2:24" x14ac:dyDescent="0.3">
      <c r="B42" s="6" t="s">
        <v>175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175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175</v>
      </c>
      <c r="W42" s="32">
        <v>0.99294800000000005</v>
      </c>
      <c r="X42" s="17">
        <v>787945.7</v>
      </c>
    </row>
    <row r="43" spans="2:24" x14ac:dyDescent="0.3">
      <c r="B43" s="1" t="s">
        <v>176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176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176</v>
      </c>
      <c r="W43" s="31">
        <v>0.99575800000000003</v>
      </c>
      <c r="X43" s="14">
        <v>172431</v>
      </c>
    </row>
    <row r="44" spans="2:24" x14ac:dyDescent="0.3">
      <c r="B44" s="6" t="s">
        <v>177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177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177</v>
      </c>
      <c r="W44" s="32">
        <v>0.99148400000000003</v>
      </c>
      <c r="X44" s="17">
        <v>33780.839999999997</v>
      </c>
    </row>
    <row r="45" spans="2:24" x14ac:dyDescent="0.3">
      <c r="B45" s="1" t="s">
        <v>178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179</v>
      </c>
      <c r="J45" s="12">
        <v>0.98804809999999998</v>
      </c>
      <c r="K45" s="14">
        <v>4077694.45</v>
      </c>
      <c r="L45" s="14">
        <f t="shared" si="25"/>
        <v>0</v>
      </c>
      <c r="V45" s="1" t="s">
        <v>179</v>
      </c>
      <c r="W45" s="31">
        <v>0.993228</v>
      </c>
      <c r="X45" s="14">
        <v>3069392</v>
      </c>
    </row>
    <row r="46" spans="2:24" x14ac:dyDescent="0.3">
      <c r="B46" s="6" t="s">
        <v>179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178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178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60"/>
  <sheetViews>
    <sheetView topLeftCell="AA1" workbookViewId="0">
      <selection activeCell="AP42" sqref="AP42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290</v>
      </c>
      <c r="AC1" s="20" t="s">
        <v>286</v>
      </c>
      <c r="AG1" s="20" t="s">
        <v>286</v>
      </c>
      <c r="AT1" s="10" t="s">
        <v>289</v>
      </c>
      <c r="AX1" s="20" t="s">
        <v>286</v>
      </c>
    </row>
    <row r="2" spans="2:83" x14ac:dyDescent="0.3">
      <c r="B2" s="19" t="s">
        <v>291</v>
      </c>
      <c r="I2" s="19" t="s">
        <v>292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145</v>
      </c>
      <c r="AH2" s="19" t="s">
        <v>191</v>
      </c>
      <c r="AI2" s="19"/>
      <c r="AJ2" s="19"/>
      <c r="AT2" s="19" t="s">
        <v>198</v>
      </c>
      <c r="AY2" s="19" t="s">
        <v>199</v>
      </c>
      <c r="BC2" s="19" t="s">
        <v>138</v>
      </c>
      <c r="BG2" s="19" t="s">
        <v>139</v>
      </c>
      <c r="BK2" s="19" t="s">
        <v>242</v>
      </c>
      <c r="BO2" s="19" t="s">
        <v>271</v>
      </c>
      <c r="BS2" s="19" t="s">
        <v>145</v>
      </c>
      <c r="BW2" s="19" t="s">
        <v>191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288</v>
      </c>
      <c r="I4" s="5" t="s">
        <v>288</v>
      </c>
      <c r="N4" s="5" t="s">
        <v>288</v>
      </c>
      <c r="R4" s="5" t="s">
        <v>288</v>
      </c>
      <c r="T4" s="21"/>
      <c r="V4" s="5" t="s">
        <v>288</v>
      </c>
      <c r="Z4" s="5" t="s">
        <v>288</v>
      </c>
      <c r="AD4" s="5" t="s">
        <v>288</v>
      </c>
      <c r="AH4" s="13" t="s">
        <v>288</v>
      </c>
      <c r="AI4" s="13"/>
      <c r="AJ4" s="13"/>
      <c r="AT4" s="5" t="s">
        <v>288</v>
      </c>
      <c r="AY4" s="5" t="s">
        <v>288</v>
      </c>
      <c r="BC4" s="5" t="s">
        <v>288</v>
      </c>
      <c r="BG4" s="5" t="s">
        <v>288</v>
      </c>
      <c r="BK4" s="5" t="s">
        <v>288</v>
      </c>
      <c r="BO4" s="5" t="s">
        <v>288</v>
      </c>
      <c r="BS4" s="5" t="s">
        <v>288</v>
      </c>
      <c r="BW4" s="13" t="s">
        <v>288</v>
      </c>
    </row>
    <row r="5" spans="2:83" ht="16.8" outlineLevel="1" x14ac:dyDescent="0.3">
      <c r="T5" s="21"/>
    </row>
    <row r="6" spans="2:83" outlineLevel="1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186</v>
      </c>
      <c r="AF6" s="9" t="s">
        <v>187</v>
      </c>
      <c r="AH6" s="9" t="s">
        <v>165</v>
      </c>
      <c r="AI6" s="9" t="s">
        <v>138</v>
      </c>
      <c r="AJ6" s="9" t="s">
        <v>139</v>
      </c>
      <c r="AK6" s="9" t="s">
        <v>192</v>
      </c>
      <c r="AL6" s="9" t="s">
        <v>33</v>
      </c>
      <c r="AM6" s="9" t="s">
        <v>242</v>
      </c>
      <c r="AN6" s="9" t="s">
        <v>193</v>
      </c>
      <c r="AO6" s="9" t="s">
        <v>271</v>
      </c>
      <c r="AP6" s="9" t="s">
        <v>145</v>
      </c>
      <c r="AT6" s="9" t="s">
        <v>194</v>
      </c>
      <c r="AU6" s="9" t="s">
        <v>134</v>
      </c>
      <c r="AV6" s="9" t="s">
        <v>186</v>
      </c>
      <c r="AW6" s="9" t="s">
        <v>187</v>
      </c>
      <c r="AY6" s="9" t="s">
        <v>194</v>
      </c>
      <c r="AZ6" s="9" t="s">
        <v>186</v>
      </c>
      <c r="BA6" s="9" t="s">
        <v>187</v>
      </c>
      <c r="BC6" s="9" t="s">
        <v>194</v>
      </c>
      <c r="BD6" s="9" t="s">
        <v>186</v>
      </c>
      <c r="BE6" s="9" t="s">
        <v>187</v>
      </c>
      <c r="BG6" s="9" t="s">
        <v>194</v>
      </c>
      <c r="BH6" s="9" t="s">
        <v>186</v>
      </c>
      <c r="BI6" s="9" t="s">
        <v>187</v>
      </c>
      <c r="BK6" s="9" t="s">
        <v>194</v>
      </c>
      <c r="BL6" s="9" t="s">
        <v>186</v>
      </c>
      <c r="BM6" s="9" t="s">
        <v>187</v>
      </c>
      <c r="BO6" s="9" t="s">
        <v>194</v>
      </c>
      <c r="BP6" s="9" t="s">
        <v>186</v>
      </c>
      <c r="BQ6" s="9" t="s">
        <v>187</v>
      </c>
      <c r="BS6" s="9" t="s">
        <v>194</v>
      </c>
      <c r="BT6" s="9" t="s">
        <v>186</v>
      </c>
      <c r="BU6" s="9" t="s">
        <v>187</v>
      </c>
      <c r="BW6" s="9" t="s">
        <v>194</v>
      </c>
      <c r="BX6" s="9" t="s">
        <v>138</v>
      </c>
      <c r="BY6" s="9" t="s">
        <v>139</v>
      </c>
      <c r="BZ6" s="9" t="s">
        <v>192</v>
      </c>
      <c r="CA6" s="9" t="s">
        <v>33</v>
      </c>
      <c r="CB6" s="9" t="s">
        <v>242</v>
      </c>
      <c r="CC6" s="9" t="s">
        <v>193</v>
      </c>
      <c r="CD6" s="9" t="s">
        <v>271</v>
      </c>
      <c r="CE6" s="9" t="s">
        <v>145</v>
      </c>
    </row>
    <row r="7" spans="2:83" outlineLevel="1" x14ac:dyDescent="0.3">
      <c r="B7" s="1" t="s">
        <v>170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170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170</v>
      </c>
      <c r="O7" s="33">
        <v>-1167.2323490000001</v>
      </c>
      <c r="P7" s="14">
        <v>35518040</v>
      </c>
      <c r="R7" s="1" t="s">
        <v>170</v>
      </c>
      <c r="S7" s="33">
        <v>-1167.7180880000001</v>
      </c>
      <c r="T7" s="14">
        <v>35525420</v>
      </c>
      <c r="V7" s="1" t="s">
        <v>170</v>
      </c>
      <c r="W7" s="33">
        <v>-6.5581474999999996</v>
      </c>
      <c r="X7" s="14">
        <v>2922129.51</v>
      </c>
      <c r="Z7" s="1" t="s">
        <v>170</v>
      </c>
      <c r="AA7" s="33">
        <v>-5.1333900000000003</v>
      </c>
      <c r="AB7" s="14">
        <v>2632341</v>
      </c>
      <c r="AD7" s="1" t="s">
        <v>170</v>
      </c>
      <c r="AE7" s="33">
        <v>0.15242800000000001</v>
      </c>
      <c r="AF7" s="14">
        <v>978543.1</v>
      </c>
      <c r="AH7" s="1" t="s">
        <v>170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195</v>
      </c>
      <c r="AU7" s="1" t="s">
        <v>192</v>
      </c>
      <c r="AV7" s="12">
        <v>-5.7474112999999996</v>
      </c>
      <c r="AW7" s="14">
        <v>269246.39079999999</v>
      </c>
      <c r="AY7" s="1" t="s">
        <v>196</v>
      </c>
      <c r="AZ7" s="15">
        <v>-2.6609845999999999</v>
      </c>
      <c r="BA7" s="25">
        <v>62.22701</v>
      </c>
      <c r="BC7" s="1" t="s">
        <v>196</v>
      </c>
      <c r="BD7" s="33">
        <v>-1556969</v>
      </c>
      <c r="BE7" s="14">
        <v>40580.75</v>
      </c>
      <c r="BG7" s="1" t="s">
        <v>196</v>
      </c>
      <c r="BH7" s="33">
        <v>-1466067</v>
      </c>
      <c r="BI7" s="14">
        <v>39378.31</v>
      </c>
      <c r="BK7" s="1" t="s">
        <v>196</v>
      </c>
      <c r="BL7" s="33">
        <v>0.45879575</v>
      </c>
      <c r="BM7" s="14">
        <v>23.92548</v>
      </c>
      <c r="BO7" s="1" t="s">
        <v>196</v>
      </c>
      <c r="BP7" s="33">
        <v>-71.902986999999996</v>
      </c>
      <c r="BQ7" s="14">
        <v>1366.269454</v>
      </c>
      <c r="BS7" s="1" t="s">
        <v>196</v>
      </c>
      <c r="BT7" s="33">
        <v>0.95831999999999995</v>
      </c>
      <c r="BU7" s="14">
        <v>6.6396439999999997</v>
      </c>
      <c r="BW7" s="1" t="s">
        <v>195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171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171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171</v>
      </c>
      <c r="O8" s="34">
        <v>-342.44675999999998</v>
      </c>
      <c r="P8" s="17">
        <v>4850543</v>
      </c>
      <c r="R8" s="6" t="s">
        <v>171</v>
      </c>
      <c r="S8" s="34">
        <v>-342.43093699999997</v>
      </c>
      <c r="T8" s="17">
        <v>4850431</v>
      </c>
      <c r="V8" s="6" t="s">
        <v>171</v>
      </c>
      <c r="W8" s="34">
        <v>-0.14459959999999999</v>
      </c>
      <c r="X8" s="17">
        <v>297053.53000000003</v>
      </c>
      <c r="Z8" s="6" t="s">
        <v>171</v>
      </c>
      <c r="AA8" s="34">
        <v>-3.654674</v>
      </c>
      <c r="AB8" s="17">
        <v>599035.5</v>
      </c>
      <c r="AD8" s="6" t="s">
        <v>171</v>
      </c>
      <c r="AE8" s="34">
        <v>0.90742500000000004</v>
      </c>
      <c r="AF8" s="17">
        <v>84480.34</v>
      </c>
      <c r="AH8" s="6" t="s">
        <v>171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195</v>
      </c>
      <c r="AU8" s="6" t="s">
        <v>33</v>
      </c>
      <c r="AV8" s="18">
        <v>-11.574771200000001</v>
      </c>
      <c r="AW8" s="17">
        <v>367562.62449999998</v>
      </c>
      <c r="AY8" s="6" t="s">
        <v>195</v>
      </c>
      <c r="AZ8" s="16">
        <v>0.59136739999999999</v>
      </c>
      <c r="BA8" s="26">
        <v>33522.334649999997</v>
      </c>
      <c r="BC8" s="6" t="s">
        <v>195</v>
      </c>
      <c r="BD8" s="34">
        <v>-96.224559999999997</v>
      </c>
      <c r="BE8" s="17">
        <v>517077.6</v>
      </c>
      <c r="BG8" s="6" t="s">
        <v>195</v>
      </c>
      <c r="BH8" s="34">
        <v>-93.707589999999996</v>
      </c>
      <c r="BI8" s="17">
        <v>510340.6</v>
      </c>
      <c r="BK8" s="6" t="s">
        <v>195</v>
      </c>
      <c r="BL8" s="34">
        <v>-0.12438572000000001</v>
      </c>
      <c r="BM8" s="17">
        <v>55606.478790000001</v>
      </c>
      <c r="BO8" s="6" t="s">
        <v>195</v>
      </c>
      <c r="BP8" s="34">
        <v>0.70949499999999999</v>
      </c>
      <c r="BQ8" s="17">
        <v>55867.376609999999</v>
      </c>
      <c r="BS8" s="6" t="s">
        <v>195</v>
      </c>
      <c r="BT8" s="34">
        <v>0.56132400000000005</v>
      </c>
      <c r="BU8" s="17">
        <v>34732.780121999996</v>
      </c>
      <c r="BW8" s="6" t="s">
        <v>196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172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172</v>
      </c>
      <c r="J9" s="33">
        <v>-101.5126727</v>
      </c>
      <c r="K9" s="14">
        <v>251109.5</v>
      </c>
      <c r="L9" s="14">
        <f>+K9-F9</f>
        <v>888.47000000000116</v>
      </c>
      <c r="N9" s="1" t="s">
        <v>172</v>
      </c>
      <c r="O9" s="33">
        <v>-74322.225143000003</v>
      </c>
      <c r="P9" s="14">
        <v>6319862</v>
      </c>
      <c r="R9" s="1" t="s">
        <v>172</v>
      </c>
      <c r="S9" s="33">
        <v>-74373.441279000006</v>
      </c>
      <c r="T9" s="14">
        <v>6322039</v>
      </c>
      <c r="V9" s="1" t="s">
        <v>172</v>
      </c>
      <c r="W9" s="33">
        <v>-844.09909029999994</v>
      </c>
      <c r="X9" s="14">
        <v>720988.16000000003</v>
      </c>
      <c r="Z9" s="1" t="s">
        <v>172</v>
      </c>
      <c r="AA9" s="33">
        <v>-527.98294699999997</v>
      </c>
      <c r="AB9" s="14">
        <v>570420.5</v>
      </c>
      <c r="AD9" s="1" t="s">
        <v>172</v>
      </c>
      <c r="AE9" s="33">
        <v>0.85376200000000002</v>
      </c>
      <c r="AF9" s="14">
        <v>9484.2870000000003</v>
      </c>
      <c r="AH9" s="1" t="s">
        <v>172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196</v>
      </c>
      <c r="AU9" s="1" t="s">
        <v>192</v>
      </c>
      <c r="AV9" s="12">
        <v>-87.875995500000002</v>
      </c>
      <c r="AW9" s="14">
        <v>1508.5369000000001</v>
      </c>
      <c r="AY9" s="1" t="s">
        <v>293</v>
      </c>
      <c r="AZ9" s="15">
        <v>-54.161358200000002</v>
      </c>
      <c r="BA9" s="25">
        <v>326.82960000000003</v>
      </c>
      <c r="BC9" s="1" t="s">
        <v>200</v>
      </c>
      <c r="BD9" s="33">
        <v>-1116797</v>
      </c>
      <c r="BE9" s="14">
        <v>46504.1</v>
      </c>
      <c r="BG9" s="1" t="s">
        <v>200</v>
      </c>
      <c r="BH9" s="33">
        <v>-1057560</v>
      </c>
      <c r="BI9" s="14">
        <v>45253.96</v>
      </c>
      <c r="BK9" s="1" t="s">
        <v>200</v>
      </c>
      <c r="BL9" s="33">
        <v>0.43556107999999999</v>
      </c>
      <c r="BM9" s="14">
        <v>33.06073</v>
      </c>
      <c r="BO9" s="1" t="s">
        <v>200</v>
      </c>
      <c r="BP9" s="33">
        <v>-16.475088</v>
      </c>
      <c r="BQ9" s="14">
        <v>1129.176692</v>
      </c>
      <c r="BS9" s="1" t="s">
        <v>200</v>
      </c>
      <c r="BT9" s="33">
        <v>-2.6274600000000001</v>
      </c>
      <c r="BU9" s="14">
        <v>83.811807000000002</v>
      </c>
      <c r="BW9" s="1" t="s">
        <v>200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190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190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190</v>
      </c>
      <c r="O10" s="34">
        <v>-5849.742776</v>
      </c>
      <c r="P10" s="17">
        <v>648975</v>
      </c>
      <c r="R10" s="6" t="s">
        <v>190</v>
      </c>
      <c r="S10" s="34">
        <v>-5872.4790750000002</v>
      </c>
      <c r="T10" s="17">
        <v>650234.80000000005</v>
      </c>
      <c r="V10" s="6" t="s">
        <v>190</v>
      </c>
      <c r="W10" s="34">
        <v>-39.938344000000001</v>
      </c>
      <c r="X10" s="17">
        <v>58675.03</v>
      </c>
      <c r="Z10" s="6" t="s">
        <v>190</v>
      </c>
      <c r="AA10" s="34">
        <v>-164.294004</v>
      </c>
      <c r="AB10" s="17">
        <v>117900.8</v>
      </c>
      <c r="AD10" s="6" t="s">
        <v>190</v>
      </c>
      <c r="AE10" s="34">
        <v>0.70942099999999997</v>
      </c>
      <c r="AF10" s="17">
        <v>4943.3419999999996</v>
      </c>
      <c r="AH10" s="6" t="s">
        <v>190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196</v>
      </c>
      <c r="AU10" s="6" t="s">
        <v>33</v>
      </c>
      <c r="AV10" s="18">
        <v>-62.386733300000003</v>
      </c>
      <c r="AW10" s="17">
        <v>1273.9808</v>
      </c>
      <c r="AY10" s="6" t="s">
        <v>287</v>
      </c>
      <c r="AZ10" s="16">
        <v>-7.8432873000000001</v>
      </c>
      <c r="BA10" s="26">
        <v>63829.462</v>
      </c>
      <c r="BC10" s="6" t="s">
        <v>287</v>
      </c>
      <c r="BD10" s="34">
        <v>-2694.8380000000002</v>
      </c>
      <c r="BE10" s="17">
        <v>1114452</v>
      </c>
      <c r="BG10" s="6" t="s">
        <v>287</v>
      </c>
      <c r="BH10" s="34">
        <v>-2581.6080000000002</v>
      </c>
      <c r="BI10" s="17">
        <v>1090796</v>
      </c>
      <c r="BK10" s="6" t="s">
        <v>287</v>
      </c>
      <c r="BL10" s="34">
        <v>1.256618E-2</v>
      </c>
      <c r="BM10" s="17">
        <v>21328.893110000001</v>
      </c>
      <c r="BO10" s="6" t="s">
        <v>287</v>
      </c>
      <c r="BP10" s="34">
        <v>-1.0690390000000001</v>
      </c>
      <c r="BQ10" s="17">
        <v>197356.89684900001</v>
      </c>
      <c r="BS10" s="6" t="s">
        <v>287</v>
      </c>
      <c r="BT10" s="34">
        <v>0.74929500000000004</v>
      </c>
      <c r="BU10" s="17">
        <v>10747.212681999999</v>
      </c>
      <c r="BW10" s="6" t="s">
        <v>287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174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174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174</v>
      </c>
      <c r="O11" s="33">
        <v>-210.45065</v>
      </c>
      <c r="P11" s="14">
        <v>35465050</v>
      </c>
      <c r="R11" s="1" t="s">
        <v>174</v>
      </c>
      <c r="S11" s="33">
        <v>-210.44169099999999</v>
      </c>
      <c r="T11" s="14">
        <v>35464300</v>
      </c>
      <c r="V11" s="1" t="s">
        <v>174</v>
      </c>
      <c r="W11" s="33">
        <v>-10.440305199999999</v>
      </c>
      <c r="X11" s="14">
        <v>8249258.3600000003</v>
      </c>
      <c r="Z11" s="1" t="s">
        <v>174</v>
      </c>
      <c r="AA11" s="33">
        <v>-22.354537000000001</v>
      </c>
      <c r="AB11" s="14">
        <v>11786420</v>
      </c>
      <c r="AD11" s="1" t="s">
        <v>174</v>
      </c>
      <c r="AE11" s="33">
        <v>0.96534200000000003</v>
      </c>
      <c r="AF11" s="14">
        <v>454043.1</v>
      </c>
      <c r="AH11" s="1" t="s">
        <v>174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293</v>
      </c>
      <c r="AU11" s="1" t="s">
        <v>192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175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175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175</v>
      </c>
      <c r="O12" s="34">
        <v>-242.90492599999999</v>
      </c>
      <c r="P12" s="17">
        <v>23865070</v>
      </c>
      <c r="R12" s="6" t="s">
        <v>175</v>
      </c>
      <c r="S12" s="34">
        <v>-242.90095299999999</v>
      </c>
      <c r="T12" s="17">
        <v>23864880</v>
      </c>
      <c r="V12" s="6" t="s">
        <v>175</v>
      </c>
      <c r="W12" s="34">
        <v>0.73289349999999998</v>
      </c>
      <c r="X12" s="17">
        <v>789759.22</v>
      </c>
      <c r="Z12" s="6" t="s">
        <v>175</v>
      </c>
      <c r="AA12" s="34">
        <v>-9.6180679999999992</v>
      </c>
      <c r="AB12" s="17">
        <v>4979380</v>
      </c>
      <c r="AD12" s="6" t="s">
        <v>175</v>
      </c>
      <c r="AE12" s="34">
        <v>-20.279411</v>
      </c>
      <c r="AF12" s="17">
        <v>7049078</v>
      </c>
      <c r="AH12" s="6" t="s">
        <v>175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293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176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176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176</v>
      </c>
      <c r="O13" s="33">
        <v>-1933.2909870000001</v>
      </c>
      <c r="P13" s="14">
        <v>7179580</v>
      </c>
      <c r="R13" s="1" t="s">
        <v>176</v>
      </c>
      <c r="S13" s="33">
        <v>-1935.788642</v>
      </c>
      <c r="T13" s="14">
        <v>7184214</v>
      </c>
      <c r="V13" s="1" t="s">
        <v>176</v>
      </c>
      <c r="W13" s="33">
        <v>-179.7974595</v>
      </c>
      <c r="X13" s="14">
        <v>2418834.08</v>
      </c>
      <c r="Z13" s="1" t="s">
        <v>176</v>
      </c>
      <c r="AA13" s="33">
        <v>-29.274857999999998</v>
      </c>
      <c r="AB13" s="14">
        <v>989808</v>
      </c>
      <c r="AD13" s="1" t="s">
        <v>176</v>
      </c>
      <c r="AE13" s="33">
        <v>0.103008</v>
      </c>
      <c r="AF13" s="14">
        <v>170374.3</v>
      </c>
      <c r="AH13" s="1" t="s">
        <v>176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287</v>
      </c>
      <c r="AU13" s="1" t="s">
        <v>192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177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177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177</v>
      </c>
      <c r="O14" s="34">
        <v>-1799.8141330000001</v>
      </c>
      <c r="P14" s="17">
        <v>996737.1</v>
      </c>
      <c r="R14" s="6" t="s">
        <v>177</v>
      </c>
      <c r="S14" s="34">
        <v>-1795.435129</v>
      </c>
      <c r="T14" s="17">
        <v>995524.5</v>
      </c>
      <c r="V14" s="6" t="s">
        <v>177</v>
      </c>
      <c r="W14" s="34">
        <v>-5.0710414999999998</v>
      </c>
      <c r="X14" s="17">
        <v>61304.51</v>
      </c>
      <c r="Z14" s="6" t="s">
        <v>177</v>
      </c>
      <c r="AA14" s="34">
        <v>-83.509297000000004</v>
      </c>
      <c r="AB14" s="17">
        <v>228724.7</v>
      </c>
      <c r="AD14" s="6" t="s">
        <v>177</v>
      </c>
      <c r="AE14" s="34">
        <v>-0.475381</v>
      </c>
      <c r="AF14" s="17">
        <v>30221.29</v>
      </c>
      <c r="AH14" s="6" t="s">
        <v>177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287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</row>
    <row r="15" spans="2:83" outlineLevel="1" x14ac:dyDescent="0.3">
      <c r="B15" s="1" t="s">
        <v>178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179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179</v>
      </c>
      <c r="O15" s="33">
        <v>-779.10362199999997</v>
      </c>
      <c r="P15" s="14">
        <v>98519360</v>
      </c>
      <c r="R15" s="1" t="s">
        <v>179</v>
      </c>
      <c r="S15" s="33">
        <v>-779.06910800000003</v>
      </c>
      <c r="T15" s="14">
        <v>98517180</v>
      </c>
      <c r="V15" s="1" t="s">
        <v>179</v>
      </c>
      <c r="W15" s="33">
        <v>0.20104150000000001</v>
      </c>
      <c r="X15" s="14">
        <v>3152880.72</v>
      </c>
      <c r="Z15" s="1" t="s">
        <v>179</v>
      </c>
      <c r="AA15" s="33">
        <v>-25.673124000000001</v>
      </c>
      <c r="AB15" s="14">
        <v>18217230</v>
      </c>
      <c r="AD15" s="1" t="s">
        <v>179</v>
      </c>
      <c r="AE15" s="33">
        <v>0.66067100000000001</v>
      </c>
      <c r="AF15" s="14">
        <v>2054735</v>
      </c>
      <c r="AH15" s="1" t="s">
        <v>179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CA15" s="13"/>
      <c r="CB15" s="13"/>
    </row>
    <row r="16" spans="2:83" outlineLevel="1" x14ac:dyDescent="0.3">
      <c r="B16" s="6" t="s">
        <v>179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178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178</v>
      </c>
      <c r="O16" s="34">
        <v>-2140.578501</v>
      </c>
      <c r="P16" s="17">
        <v>1000999</v>
      </c>
      <c r="R16" s="6" t="s">
        <v>178</v>
      </c>
      <c r="S16" s="34">
        <v>-2138.2510229999998</v>
      </c>
      <c r="T16" s="17">
        <v>1000455</v>
      </c>
      <c r="V16" s="6" t="s">
        <v>178</v>
      </c>
      <c r="W16" s="34">
        <v>0.41362320000000002</v>
      </c>
      <c r="X16" s="17">
        <v>16826.12</v>
      </c>
      <c r="Z16" s="6" t="s">
        <v>178</v>
      </c>
      <c r="AA16" s="34">
        <v>-77.961535999999995</v>
      </c>
      <c r="AB16" s="17">
        <v>195255.6</v>
      </c>
      <c r="AD16" s="6" t="s">
        <v>178</v>
      </c>
      <c r="AE16" s="34">
        <v>0.882351</v>
      </c>
      <c r="AF16" s="17">
        <v>7536.8639999999996</v>
      </c>
      <c r="AH16" s="6" t="s">
        <v>178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CA16" s="13"/>
      <c r="CB16" s="13"/>
    </row>
    <row r="17" spans="34:80" x14ac:dyDescent="0.3">
      <c r="CA17" s="13"/>
      <c r="CB17" s="13"/>
    </row>
    <row r="18" spans="34:80" x14ac:dyDescent="0.3">
      <c r="CA18" s="13"/>
      <c r="CB18" s="13"/>
    </row>
    <row r="19" spans="34:80" x14ac:dyDescent="0.3">
      <c r="BW19" s="19"/>
      <c r="BX19" s="19"/>
      <c r="BY19" s="19"/>
      <c r="BZ19" s="13"/>
      <c r="CA19" s="13"/>
      <c r="CB19" s="13"/>
    </row>
    <row r="20" spans="34:80" x14ac:dyDescent="0.3">
      <c r="AH20" s="1" t="s">
        <v>250</v>
      </c>
      <c r="BW20" s="19"/>
      <c r="BX20" s="19"/>
      <c r="BY20" s="19"/>
      <c r="BZ20" s="13"/>
      <c r="CA20" s="13"/>
      <c r="CB20" s="13"/>
    </row>
    <row r="21" spans="34:80" x14ac:dyDescent="0.3">
      <c r="AH21" s="9" t="s">
        <v>165</v>
      </c>
      <c r="AI21" s="9" t="s">
        <v>294</v>
      </c>
      <c r="AJ21" s="9" t="s">
        <v>295</v>
      </c>
      <c r="AK21" s="9" t="s">
        <v>296</v>
      </c>
      <c r="AL21" s="9" t="s">
        <v>297</v>
      </c>
      <c r="AM21" s="9" t="s">
        <v>298</v>
      </c>
      <c r="AN21" s="9" t="s">
        <v>299</v>
      </c>
      <c r="AO21" s="9" t="s">
        <v>233</v>
      </c>
      <c r="BW21" s="13"/>
      <c r="BX21" s="13"/>
      <c r="BY21" s="13"/>
      <c r="BZ21" s="13"/>
      <c r="CA21" s="13"/>
      <c r="CB21" s="13"/>
    </row>
    <row r="22" spans="34:80" x14ac:dyDescent="0.3">
      <c r="AH22" s="1" t="s">
        <v>171</v>
      </c>
      <c r="AI22" s="14">
        <v>8358205</v>
      </c>
      <c r="AJ22" s="14">
        <v>6472772</v>
      </c>
      <c r="AK22" s="14">
        <v>247333.9</v>
      </c>
      <c r="AL22" s="14">
        <v>247360.9</v>
      </c>
      <c r="AM22" s="14">
        <v>7119606</v>
      </c>
      <c r="AN22" s="14">
        <v>739199.5</v>
      </c>
      <c r="AO22" s="14">
        <v>22672160</v>
      </c>
      <c r="BW22" s="13"/>
      <c r="BX22" s="13"/>
      <c r="BY22" s="13"/>
      <c r="BZ22" s="13"/>
      <c r="CA22" s="13"/>
      <c r="CB22" s="13"/>
    </row>
    <row r="23" spans="34:80" ht="16.8" x14ac:dyDescent="0.3">
      <c r="AH23" s="6" t="s">
        <v>172</v>
      </c>
      <c r="AI23" s="14">
        <v>3756126</v>
      </c>
      <c r="AJ23" s="14">
        <v>1272250</v>
      </c>
      <c r="AK23" s="14">
        <v>141937.60000000001</v>
      </c>
      <c r="AL23" s="14">
        <v>141957.6</v>
      </c>
      <c r="AM23" s="14">
        <v>1460144</v>
      </c>
      <c r="AN23" s="14">
        <v>3376700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0" ht="16.8" x14ac:dyDescent="0.3">
      <c r="AH24" s="1" t="s">
        <v>175</v>
      </c>
      <c r="AI24" s="14">
        <v>42386480</v>
      </c>
      <c r="AJ24" s="14">
        <v>37853330</v>
      </c>
      <c r="AK24" s="14">
        <v>2035471</v>
      </c>
      <c r="AL24" s="14">
        <v>2035450</v>
      </c>
      <c r="AM24" s="14">
        <v>40214680</v>
      </c>
      <c r="AN24" s="14">
        <v>1304844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0" ht="16.8" x14ac:dyDescent="0.3">
      <c r="AH25" s="6" t="s">
        <v>176</v>
      </c>
      <c r="AI25" s="14">
        <v>8256902</v>
      </c>
      <c r="AJ25" s="14">
        <v>8702138</v>
      </c>
      <c r="AK25" s="14">
        <v>400986.7</v>
      </c>
      <c r="AL25" s="14">
        <v>401188.3</v>
      </c>
      <c r="AM25" s="14">
        <v>8497244</v>
      </c>
      <c r="AN25" s="14">
        <v>2367122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</row>
    <row r="26" spans="34:80" ht="16.8" x14ac:dyDescent="0.3">
      <c r="AH26" s="1" t="s">
        <v>179</v>
      </c>
      <c r="AI26" s="14">
        <v>87020490</v>
      </c>
      <c r="AJ26" s="14">
        <v>87979830</v>
      </c>
      <c r="AK26" s="14">
        <v>3994550</v>
      </c>
      <c r="AL26" s="14">
        <v>3993905</v>
      </c>
      <c r="AM26" s="14">
        <v>99369740</v>
      </c>
      <c r="AN26" s="14">
        <v>18872380</v>
      </c>
      <c r="AO26" s="14">
        <v>426086100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</row>
    <row r="29" spans="34:80" x14ac:dyDescent="0.3">
      <c r="AH29" s="29" t="s">
        <v>300</v>
      </c>
    </row>
    <row r="30" spans="34:80" x14ac:dyDescent="0.3">
      <c r="AH30" s="9" t="s">
        <v>165</v>
      </c>
      <c r="AI30" s="9" t="s">
        <v>294</v>
      </c>
      <c r="AJ30" s="9" t="s">
        <v>295</v>
      </c>
      <c r="AK30" s="9" t="s">
        <v>296</v>
      </c>
      <c r="AL30" s="9" t="s">
        <v>297</v>
      </c>
      <c r="AM30" s="9" t="s">
        <v>298</v>
      </c>
      <c r="AN30" s="9" t="s">
        <v>299</v>
      </c>
      <c r="AO30" s="9" t="s">
        <v>233</v>
      </c>
      <c r="AP30" s="9" t="s">
        <v>322</v>
      </c>
    </row>
    <row r="31" spans="34:80" x14ac:dyDescent="0.3">
      <c r="AH31" s="1" t="s">
        <v>171</v>
      </c>
      <c r="AI31" s="14">
        <v>8448053</v>
      </c>
      <c r="AJ31" s="14">
        <v>6780585</v>
      </c>
      <c r="AK31" s="14">
        <v>65899.95</v>
      </c>
      <c r="AL31" s="14">
        <v>59433.07</v>
      </c>
      <c r="AM31" s="14">
        <v>7730858</v>
      </c>
      <c r="AN31" s="14">
        <v>772883.5</v>
      </c>
      <c r="AO31" s="14">
        <v>22698710</v>
      </c>
      <c r="AP31" s="14">
        <v>4344672</v>
      </c>
    </row>
    <row r="32" spans="34:80" x14ac:dyDescent="0.3">
      <c r="AH32" s="6" t="s">
        <v>172</v>
      </c>
      <c r="AI32" s="14">
        <v>3641375</v>
      </c>
      <c r="AJ32" s="14">
        <v>1288990</v>
      </c>
      <c r="AK32" s="14">
        <v>98367.06</v>
      </c>
      <c r="AL32" s="14">
        <v>147808.5</v>
      </c>
      <c r="AM32" s="14">
        <v>1442136</v>
      </c>
      <c r="AN32" s="14">
        <v>3279935</v>
      </c>
      <c r="AO32" s="14">
        <v>23558110</v>
      </c>
      <c r="AP32" s="14">
        <v>2015265</v>
      </c>
    </row>
    <row r="33" spans="34:42" x14ac:dyDescent="0.3">
      <c r="AH33" s="1" t="s">
        <v>175</v>
      </c>
      <c r="AI33" s="14">
        <v>44264800</v>
      </c>
      <c r="AJ33" s="14">
        <v>39037660</v>
      </c>
      <c r="AK33" s="14">
        <v>396822.9</v>
      </c>
      <c r="AL33" s="14">
        <v>410083.2</v>
      </c>
      <c r="AM33" s="14">
        <v>40922950</v>
      </c>
      <c r="AN33" s="14">
        <v>2976958</v>
      </c>
      <c r="AO33" s="14">
        <v>123353700</v>
      </c>
      <c r="AP33" s="14">
        <v>152331600</v>
      </c>
    </row>
    <row r="34" spans="34:42" x14ac:dyDescent="0.3">
      <c r="AH34" s="6" t="s">
        <v>176</v>
      </c>
      <c r="AI34" s="14">
        <v>8295826</v>
      </c>
      <c r="AJ34" s="14">
        <v>8770232</v>
      </c>
      <c r="AK34" s="14">
        <v>236383.9</v>
      </c>
      <c r="AL34" s="14">
        <v>268165.8</v>
      </c>
      <c r="AM34" s="14">
        <v>8565617</v>
      </c>
      <c r="AN34" s="14">
        <v>2513404</v>
      </c>
      <c r="AO34" s="14">
        <v>31047740</v>
      </c>
      <c r="AP34" s="14">
        <v>3783188</v>
      </c>
    </row>
    <row r="35" spans="34:42" x14ac:dyDescent="0.3">
      <c r="AH35" s="1" t="s">
        <v>179</v>
      </c>
      <c r="AI35" s="14">
        <v>88022780</v>
      </c>
      <c r="AJ35" s="14">
        <v>81075680</v>
      </c>
      <c r="AK35" s="14">
        <v>1296517</v>
      </c>
      <c r="AL35" s="14">
        <v>1329986</v>
      </c>
      <c r="AM35" s="14">
        <v>99065760</v>
      </c>
      <c r="AN35" s="14">
        <v>19143400</v>
      </c>
      <c r="AO35" s="14">
        <v>427453400</v>
      </c>
      <c r="AP35" s="14">
        <v>228807800</v>
      </c>
    </row>
    <row r="38" spans="34:42" x14ac:dyDescent="0.3">
      <c r="AH38" s="1" t="s">
        <v>301</v>
      </c>
    </row>
    <row r="39" spans="34:42" x14ac:dyDescent="0.3">
      <c r="AH39" s="9" t="s">
        <v>165</v>
      </c>
      <c r="AI39" s="9" t="s">
        <v>294</v>
      </c>
      <c r="AJ39" s="9" t="s">
        <v>295</v>
      </c>
      <c r="AK39" s="9" t="s">
        <v>296</v>
      </c>
      <c r="AL39" s="9" t="s">
        <v>297</v>
      </c>
      <c r="AM39" s="9" t="s">
        <v>298</v>
      </c>
      <c r="AN39" s="9" t="s">
        <v>299</v>
      </c>
      <c r="AO39" s="9" t="s">
        <v>233</v>
      </c>
    </row>
    <row r="40" spans="34:42" x14ac:dyDescent="0.3">
      <c r="AH40" s="1" t="s">
        <v>171</v>
      </c>
      <c r="AI40" s="14">
        <v>8300763</v>
      </c>
      <c r="AJ40" s="14">
        <v>7395443</v>
      </c>
      <c r="AK40" s="14">
        <v>408375.8</v>
      </c>
      <c r="AL40" s="14">
        <v>408305.3</v>
      </c>
      <c r="AM40" s="14">
        <v>7755566</v>
      </c>
      <c r="AN40" s="14">
        <v>1238832</v>
      </c>
      <c r="AO40" s="14">
        <v>22730730</v>
      </c>
      <c r="AP40" s="14"/>
    </row>
    <row r="41" spans="34:42" x14ac:dyDescent="0.3">
      <c r="AH41" s="6" t="s">
        <v>172</v>
      </c>
      <c r="AI41" s="14">
        <v>3779986</v>
      </c>
      <c r="AJ41" s="14">
        <v>1261350</v>
      </c>
      <c r="AK41" s="14">
        <v>2078308</v>
      </c>
      <c r="AL41" s="14">
        <v>2078353</v>
      </c>
      <c r="AM41" s="14">
        <v>1379444</v>
      </c>
      <c r="AN41" s="14">
        <v>3793630</v>
      </c>
      <c r="AO41" s="14">
        <v>21256790</v>
      </c>
      <c r="AP41" s="14"/>
    </row>
    <row r="42" spans="34:42" x14ac:dyDescent="0.3">
      <c r="AH42" s="1" t="s">
        <v>175</v>
      </c>
      <c r="AI42" s="14">
        <v>43990100</v>
      </c>
      <c r="AJ42" s="14">
        <v>39106190</v>
      </c>
      <c r="AK42" s="14">
        <v>3578022</v>
      </c>
      <c r="AL42" s="14">
        <v>3578005</v>
      </c>
      <c r="AM42" s="14">
        <v>44898540</v>
      </c>
      <c r="AN42" s="14">
        <v>5110701</v>
      </c>
      <c r="AO42" s="14">
        <v>127592700</v>
      </c>
      <c r="AP42" s="14"/>
    </row>
    <row r="43" spans="34:42" x14ac:dyDescent="0.3">
      <c r="AH43" s="6" t="s">
        <v>176</v>
      </c>
      <c r="AI43" s="14">
        <v>8065792</v>
      </c>
      <c r="AJ43" s="14">
        <v>8527451</v>
      </c>
      <c r="AK43" s="14">
        <v>2342675</v>
      </c>
      <c r="AL43" s="14">
        <v>2342966</v>
      </c>
      <c r="AM43" s="14">
        <v>8968693</v>
      </c>
      <c r="AN43" s="14">
        <v>3263058</v>
      </c>
      <c r="AO43" s="14">
        <v>31673230</v>
      </c>
      <c r="AP43" s="14"/>
    </row>
    <row r="44" spans="34:42" x14ac:dyDescent="0.3">
      <c r="AH44" s="1" t="s">
        <v>179</v>
      </c>
      <c r="AI44" s="14">
        <v>80946790</v>
      </c>
      <c r="AJ44" s="14">
        <v>78253060</v>
      </c>
      <c r="AK44" s="14">
        <v>16474180</v>
      </c>
      <c r="AL44" s="14">
        <v>16476130</v>
      </c>
      <c r="AM44" s="14">
        <v>91963430</v>
      </c>
      <c r="AN44" s="14">
        <v>19756890</v>
      </c>
      <c r="AO44" s="14">
        <v>433487500</v>
      </c>
      <c r="AP44" s="14"/>
    </row>
    <row r="49" spans="34:38" x14ac:dyDescent="0.3">
      <c r="AH49" s="1" t="s">
        <v>310</v>
      </c>
    </row>
    <row r="50" spans="34:38" x14ac:dyDescent="0.3">
      <c r="AH50" s="9" t="s">
        <v>171</v>
      </c>
      <c r="AI50" s="9" t="s">
        <v>172</v>
      </c>
      <c r="AJ50" s="9" t="s">
        <v>175</v>
      </c>
      <c r="AK50" s="9" t="s">
        <v>176</v>
      </c>
      <c r="AL50" s="9" t="s">
        <v>179</v>
      </c>
    </row>
    <row r="51" spans="34:38" x14ac:dyDescent="0.3">
      <c r="AH51" s="1" t="s">
        <v>302</v>
      </c>
      <c r="AI51" s="1" t="s">
        <v>303</v>
      </c>
      <c r="AJ51" s="1" t="s">
        <v>303</v>
      </c>
      <c r="AK51" s="1" t="s">
        <v>303</v>
      </c>
      <c r="AL51" s="1" t="s">
        <v>303</v>
      </c>
    </row>
    <row r="52" spans="34:38" x14ac:dyDescent="0.3">
      <c r="AH52" s="6" t="s">
        <v>303</v>
      </c>
      <c r="AI52" s="6" t="s">
        <v>319</v>
      </c>
      <c r="AJ52" s="6" t="s">
        <v>311</v>
      </c>
      <c r="AK52" s="6" t="s">
        <v>309</v>
      </c>
      <c r="AL52" s="6" t="s">
        <v>304</v>
      </c>
    </row>
    <row r="53" spans="34:38" x14ac:dyDescent="0.3">
      <c r="AH53" s="1" t="s">
        <v>312</v>
      </c>
      <c r="AI53" s="1" t="s">
        <v>304</v>
      </c>
      <c r="AJ53" s="1" t="s">
        <v>304</v>
      </c>
      <c r="AK53" s="1" t="s">
        <v>306</v>
      </c>
      <c r="AL53" s="1" t="s">
        <v>306</v>
      </c>
    </row>
    <row r="54" spans="34:38" x14ac:dyDescent="0.3">
      <c r="AH54" s="6" t="s">
        <v>307</v>
      </c>
      <c r="AI54" s="6" t="s">
        <v>305</v>
      </c>
      <c r="AJ54" s="6" t="s">
        <v>305</v>
      </c>
      <c r="AK54" s="6" t="s">
        <v>306</v>
      </c>
      <c r="AL54" s="6" t="s">
        <v>306</v>
      </c>
    </row>
    <row r="55" spans="34:38" x14ac:dyDescent="0.3">
      <c r="AH55" s="1" t="s">
        <v>308</v>
      </c>
      <c r="AI55" s="1" t="s">
        <v>307</v>
      </c>
      <c r="AJ55" s="1" t="s">
        <v>313</v>
      </c>
      <c r="AK55" s="1" t="s">
        <v>306</v>
      </c>
      <c r="AL55" s="1" t="s">
        <v>306</v>
      </c>
    </row>
    <row r="56" spans="34:38" x14ac:dyDescent="0.3">
      <c r="AH56" s="6" t="s">
        <v>317</v>
      </c>
      <c r="AI56" s="6" t="s">
        <v>320</v>
      </c>
      <c r="AJ56" s="6" t="s">
        <v>316</v>
      </c>
      <c r="AK56" s="6" t="s">
        <v>306</v>
      </c>
      <c r="AL56" s="6" t="s">
        <v>306</v>
      </c>
    </row>
    <row r="57" spans="34:38" x14ac:dyDescent="0.3">
      <c r="AH57" s="1" t="s">
        <v>309</v>
      </c>
      <c r="AI57" s="1" t="s">
        <v>314</v>
      </c>
      <c r="AJ57" s="1" t="s">
        <v>306</v>
      </c>
      <c r="AK57" s="1" t="s">
        <v>306</v>
      </c>
      <c r="AL57" s="1" t="s">
        <v>306</v>
      </c>
    </row>
    <row r="58" spans="34:38" x14ac:dyDescent="0.3">
      <c r="AH58" s="6" t="s">
        <v>318</v>
      </c>
      <c r="AI58" s="6" t="s">
        <v>309</v>
      </c>
      <c r="AJ58" s="6" t="s">
        <v>306</v>
      </c>
      <c r="AK58" s="6" t="s">
        <v>306</v>
      </c>
      <c r="AL58" s="6" t="s">
        <v>306</v>
      </c>
    </row>
    <row r="59" spans="34:38" x14ac:dyDescent="0.3">
      <c r="AH59" s="1" t="s">
        <v>306</v>
      </c>
      <c r="AI59" s="1" t="s">
        <v>321</v>
      </c>
      <c r="AJ59" s="1" t="s">
        <v>306</v>
      </c>
      <c r="AK59" s="1" t="s">
        <v>306</v>
      </c>
      <c r="AL59" s="1" t="s">
        <v>306</v>
      </c>
    </row>
    <row r="60" spans="34:38" x14ac:dyDescent="0.3">
      <c r="AH60" s="6" t="s">
        <v>306</v>
      </c>
      <c r="AI60" s="6" t="s">
        <v>315</v>
      </c>
      <c r="AJ60" s="6" t="s">
        <v>306</v>
      </c>
      <c r="AK60" s="6" t="s">
        <v>306</v>
      </c>
      <c r="AL60" s="6" t="s">
        <v>306</v>
      </c>
    </row>
  </sheetData>
  <conditionalFormatting sqref="AI7:AI16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P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P3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P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P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P3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P4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P4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P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P4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P4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:AP3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:AP4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0"/>
  <sheetViews>
    <sheetView topLeftCell="A24" workbookViewId="0">
      <selection activeCell="C38" sqref="C38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203</v>
      </c>
    </row>
    <row r="28" spans="2:3" x14ac:dyDescent="0.3">
      <c r="B28" s="1">
        <v>26</v>
      </c>
      <c r="C28" s="1" t="s">
        <v>214</v>
      </c>
    </row>
    <row r="29" spans="2:3" x14ac:dyDescent="0.3">
      <c r="B29" s="1">
        <v>27</v>
      </c>
      <c r="C29" s="1" t="s">
        <v>215</v>
      </c>
    </row>
    <row r="30" spans="2:3" x14ac:dyDescent="0.3">
      <c r="B30" s="1">
        <v>28</v>
      </c>
      <c r="C30" s="1" t="s">
        <v>216</v>
      </c>
    </row>
    <row r="31" spans="2:3" x14ac:dyDescent="0.3">
      <c r="B31" s="1">
        <v>29</v>
      </c>
      <c r="C31" s="1" t="s">
        <v>217</v>
      </c>
    </row>
    <row r="32" spans="2:3" x14ac:dyDescent="0.3">
      <c r="B32" s="1">
        <v>30</v>
      </c>
      <c r="C32" s="1" t="s">
        <v>218</v>
      </c>
    </row>
    <row r="33" spans="2:3" x14ac:dyDescent="0.3">
      <c r="B33" s="1">
        <v>31</v>
      </c>
      <c r="C33" s="1" t="s">
        <v>219</v>
      </c>
    </row>
    <row r="34" spans="2:3" x14ac:dyDescent="0.3">
      <c r="B34" s="1">
        <v>32</v>
      </c>
      <c r="C34" s="1" t="s">
        <v>220</v>
      </c>
    </row>
    <row r="35" spans="2:3" x14ac:dyDescent="0.3">
      <c r="B35" s="1">
        <v>33</v>
      </c>
      <c r="C35" s="1" t="s">
        <v>221</v>
      </c>
    </row>
    <row r="36" spans="2:3" x14ac:dyDescent="0.3">
      <c r="B36" s="1">
        <v>34</v>
      </c>
      <c r="C36" s="1" t="s">
        <v>222</v>
      </c>
    </row>
    <row r="37" spans="2:3" x14ac:dyDescent="0.3">
      <c r="B37" s="1">
        <v>35</v>
      </c>
      <c r="C37" s="1" t="s">
        <v>223</v>
      </c>
    </row>
    <row r="38" spans="2:3" x14ac:dyDescent="0.3">
      <c r="B38" s="1">
        <v>36</v>
      </c>
      <c r="C38" s="1" t="s">
        <v>224</v>
      </c>
    </row>
    <row r="39" spans="2:3" x14ac:dyDescent="0.3">
      <c r="B39" s="1">
        <v>37</v>
      </c>
      <c r="C39" s="1" t="s">
        <v>225</v>
      </c>
    </row>
    <row r="40" spans="2:3" x14ac:dyDescent="0.3">
      <c r="B40" s="1">
        <v>37</v>
      </c>
      <c r="C40" s="29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204</v>
      </c>
    </row>
    <row r="3" spans="2:2" x14ac:dyDescent="0.3">
      <c r="B3" s="1" t="s">
        <v>205</v>
      </c>
    </row>
    <row r="4" spans="2:2" x14ac:dyDescent="0.3">
      <c r="B4" s="1" t="s">
        <v>206</v>
      </c>
    </row>
    <row r="5" spans="2:2" x14ac:dyDescent="0.3">
      <c r="B5" s="1" t="s">
        <v>207</v>
      </c>
    </row>
    <row r="6" spans="2:2" x14ac:dyDescent="0.3">
      <c r="B6" s="1" t="s">
        <v>208</v>
      </c>
    </row>
    <row r="7" spans="2:2" x14ac:dyDescent="0.3">
      <c r="B7" s="1" t="s">
        <v>209</v>
      </c>
    </row>
    <row r="8" spans="2:2" x14ac:dyDescent="0.3">
      <c r="B8" s="1" t="s">
        <v>210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2025-03-25T10:47:34Z</dcterms:modified>
</cp:coreProperties>
</file>